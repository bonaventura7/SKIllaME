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heet Inventory" sheetId="2" state="visible" r:id="rId2"/>
    <sheet xmlns:r="http://schemas.openxmlformats.org/officeDocument/2006/relationships" name="Formula Analysis" sheetId="3" state="visible" r:id="rId3"/>
    <sheet xmlns:r="http://schemas.openxmlformats.org/officeDocument/2006/relationships" name="Issues &amp; Warnings" sheetId="4" state="visible" r:id="rId4"/>
    <sheet xmlns:r="http://schemas.openxmlformats.org/officeDocument/2006/relationships" name="Business Logic" sheetId="5" state="visible" r:id="rId5"/>
    <sheet xmlns:r="http://schemas.openxmlformats.org/officeDocument/2006/relationships" name="Dependencies" sheetId="6" state="visible" r:id="rId6"/>
    <sheet xmlns:r="http://schemas.openxmlformats.org/officeDocument/2006/relationships" name="Named Ranges" sheetId="7" state="visible" r:id="rId7"/>
    <sheet xmlns:r="http://schemas.openxmlformats.org/officeDocument/2006/relationships" name="Recommend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2F5496"/>
      <sz val="12"/>
    </font>
    <font>
      <i val="1"/>
      <color rgb="00666666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EXCEL REVERSE ENGINEERING REPORT</t>
        </is>
      </c>
    </row>
    <row r="3">
      <c r="A3" t="inlineStr">
        <is>
          <t>Source File:</t>
        </is>
      </c>
      <c r="B3" t="inlineStr">
        <is>
          <t>examples/sample_pivot_macro_re.xlsx</t>
        </is>
      </c>
    </row>
    <row r="4">
      <c r="A4" t="inlineStr">
        <is>
          <t>Generated On:</t>
        </is>
      </c>
      <c r="B4" t="inlineStr">
        <is>
          <t>2026-06-09 09:02</t>
        </is>
      </c>
    </row>
    <row r="5">
      <c r="A5" t="inlineStr">
        <is>
          <t>Analysis Tool:</t>
        </is>
      </c>
      <c r="B5" t="inlineStr">
        <is>
          <t>xlsx-reverse-engineering skill (4-phase pipeline)</t>
        </is>
      </c>
    </row>
    <row r="7">
      <c r="A7" s="2" t="inlineStr">
        <is>
          <t>EXECUTIVE SUMMARY</t>
        </is>
      </c>
    </row>
    <row r="9">
      <c r="A9" t="inlineStr">
        <is>
          <t>Total Sheets:</t>
        </is>
      </c>
      <c r="B9" t="n">
        <v>5</v>
      </c>
    </row>
    <row r="10">
      <c r="A10" t="inlineStr">
        <is>
          <t>Total Formulas:</t>
        </is>
      </c>
      <c r="B10" t="n">
        <v>26</v>
      </c>
    </row>
    <row r="11">
      <c r="A11" t="inlineStr">
        <is>
          <t>Hidden Sheets:</t>
        </is>
      </c>
      <c r="B11" t="n">
        <v>1</v>
      </c>
    </row>
    <row r="13">
      <c r="A13" t="inlineStr">
        <is>
          <t>Avg Formula Complexity:</t>
        </is>
      </c>
      <c r="B13" t="n">
        <v>4</v>
      </c>
    </row>
    <row r="14">
      <c r="A14" t="inlineStr">
        <is>
          <t>High Complexity Formulas:</t>
        </is>
      </c>
      <c r="B14" t="n">
        <v>1</v>
      </c>
    </row>
    <row r="17">
      <c r="A17" s="3" t="inlineStr">
        <is>
          <t>Note: For verified calculated values, run the xlsx skill's recalc.py before analysis.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Inventory</t>
        </is>
      </c>
    </row>
    <row r="3">
      <c r="A3" s="4" t="inlineStr">
        <is>
          <t>Sheet Name</t>
        </is>
      </c>
      <c r="B3" s="4" t="inlineStr">
        <is>
          <t>Visibility</t>
        </is>
      </c>
      <c r="C3" s="4" t="inlineStr">
        <is>
          <t>Formula Count</t>
        </is>
      </c>
      <c r="D3" s="4" t="inlineStr">
        <is>
          <t>Has Tables</t>
        </is>
      </c>
      <c r="E3" s="4" t="inlineStr">
        <is>
          <t>Protected</t>
        </is>
      </c>
    </row>
    <row r="4">
      <c r="A4" t="inlineStr">
        <is>
          <t>RawData</t>
        </is>
      </c>
      <c r="B4" t="inlineStr">
        <is>
          <t>visible</t>
        </is>
      </c>
      <c r="C4" t="n">
        <v>0</v>
      </c>
      <c r="D4" t="b">
        <v>0</v>
      </c>
      <c r="E4" t="b">
        <v>0</v>
      </c>
    </row>
    <row r="5">
      <c r="A5" t="inlineStr">
        <is>
          <t>SummaryDashboard</t>
        </is>
      </c>
      <c r="B5" t="inlineStr">
        <is>
          <t>visible</t>
        </is>
      </c>
      <c r="C5" t="n">
        <v>9</v>
      </c>
      <c r="D5" t="b">
        <v>0</v>
      </c>
      <c r="E5" t="b">
        <v>0</v>
      </c>
    </row>
    <row r="6">
      <c r="A6" t="inlineStr">
        <is>
          <t>PivotAnalysis</t>
        </is>
      </c>
      <c r="B6" t="inlineStr">
        <is>
          <t>visible</t>
        </is>
      </c>
      <c r="C6" t="n">
        <v>17</v>
      </c>
      <c r="D6" t="b">
        <v>0</v>
      </c>
      <c r="E6" t="b">
        <v>0</v>
      </c>
    </row>
    <row r="7">
      <c r="A7" t="inlineStr">
        <is>
          <t>MacroSimulation</t>
        </is>
      </c>
      <c r="B7" t="inlineStr">
        <is>
          <t>visible</t>
        </is>
      </c>
      <c r="C7" t="n">
        <v>0</v>
      </c>
      <c r="D7" t="b">
        <v>0</v>
      </c>
      <c r="E7" t="b">
        <v>0</v>
      </c>
    </row>
    <row r="8">
      <c r="A8" t="inlineStr">
        <is>
          <t>_HiddenControl</t>
        </is>
      </c>
      <c r="B8" t="inlineStr">
        <is>
          <t>veryHidden</t>
        </is>
      </c>
      <c r="C8" t="n">
        <v>0</v>
      </c>
      <c r="D8" t="b">
        <v>0</v>
      </c>
      <c r="E8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Formula Analysis &amp; Complexity</t>
        </is>
      </c>
    </row>
    <row r="3">
      <c r="A3" t="inlineStr">
        <is>
          <t>Total Formulas Analyzed</t>
        </is>
      </c>
      <c r="B3" t="n">
        <v>26</v>
      </c>
    </row>
    <row r="4">
      <c r="A4" t="inlineStr">
        <is>
          <t>Average Complexity (1-100)</t>
        </is>
      </c>
      <c r="B4" t="n">
        <v>4</v>
      </c>
    </row>
    <row r="5">
      <c r="A5" t="inlineStr">
        <is>
          <t>High Complexity (&gt;15)</t>
        </is>
      </c>
      <c r="B5" t="n">
        <v>1</v>
      </c>
    </row>
    <row r="8">
      <c r="A8" s="4" t="inlineStr">
        <is>
          <t>Location</t>
        </is>
      </c>
      <c r="B8" s="4" t="inlineStr">
        <is>
          <t>Complexity</t>
        </is>
      </c>
      <c r="C8" s="4" t="inlineStr">
        <is>
          <t>Formula Preview</t>
        </is>
      </c>
    </row>
    <row r="9">
      <c r="A9" t="inlineStr">
        <is>
          <t>SummaryDashboard!B14</t>
        </is>
      </c>
      <c r="B9" t="n">
        <v>18</v>
      </c>
      <c r="C9">
        <f>IFERROR(AVERAGE(IF(RawData!C:C=2025,RawData!E:E))/AVERAGE(IF(RawData!C:C=2024,RawData!E:E))-1,0)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Issues &amp; Warnings</t>
        </is>
      </c>
    </row>
    <row r="3">
      <c r="A3" s="4" t="inlineStr">
        <is>
          <t>Severity</t>
        </is>
      </c>
      <c r="B3" s="4" t="inlineStr">
        <is>
          <t>Location</t>
        </is>
      </c>
      <c r="C3" s="4" t="inlineStr">
        <is>
          <t>Issue</t>
        </is>
      </c>
      <c r="D3" s="4" t="inlineStr">
        <is>
          <t>Recommendation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Logic &amp; Model Architecture</t>
        </is>
      </c>
    </row>
    <row r="3">
      <c r="A3" t="inlineStr">
        <is>
          <t>Detected Model Type</t>
        </is>
      </c>
      <c r="B3" t="inlineStr">
        <is>
          <t>general_spreadsheet_model</t>
        </is>
      </c>
    </row>
    <row r="5">
      <c r="A5" t="inlineStr">
        <is>
          <t>Cross-Sheet References</t>
        </is>
      </c>
      <c r="B5" t="n">
        <v>19</v>
      </c>
    </row>
    <row r="8">
      <c r="A8" t="inlineStr">
        <is>
          <t>Financial Patterns Detected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Cross-Sheet Dependencies</t>
        </is>
      </c>
    </row>
    <row r="3">
      <c r="A3" t="inlineStr">
        <is>
          <t>Top Dependent Sheets</t>
        </is>
      </c>
    </row>
    <row r="4">
      <c r="A4">
        <f>SUMIFS(RawData</f>
        <v/>
      </c>
      <c r="B4" t="n">
        <v>12</v>
      </c>
    </row>
    <row r="5">
      <c r="A5" t="inlineStr">
        <is>
          <t>E:E,RawData</t>
        </is>
      </c>
      <c r="B5" t="n">
        <v>12</v>
      </c>
    </row>
    <row r="6">
      <c r="A6">
        <f>SUMIF(RawData</f>
        <v/>
      </c>
      <c r="B6" t="n">
        <v>4</v>
      </c>
    </row>
    <row r="7">
      <c r="A7" t="inlineStr">
        <is>
          <t>A:A,A5,RawData</t>
        </is>
      </c>
      <c r="B7" t="n">
        <v>3</v>
      </c>
    </row>
    <row r="8">
      <c r="A8" t="inlineStr">
        <is>
          <t>A:A,A6,RawData</t>
        </is>
      </c>
      <c r="B8" t="n">
        <v>3</v>
      </c>
    </row>
    <row r="9">
      <c r="A9" t="inlineStr">
        <is>
          <t>A:A,A7,RawData</t>
        </is>
      </c>
      <c r="B9" t="n">
        <v>3</v>
      </c>
    </row>
    <row r="10">
      <c r="A10" t="inlineStr">
        <is>
          <t>A:A,A8,RawData</t>
        </is>
      </c>
      <c r="B10" t="n">
        <v>3</v>
      </c>
    </row>
    <row r="11">
      <c r="A11">
        <f>SUM(RawData</f>
        <v/>
      </c>
      <c r="B11" t="n">
        <v>2</v>
      </c>
    </row>
    <row r="12">
      <c r="A12" t="inlineStr">
        <is>
          <t>A:A,"North",RawData</t>
        </is>
      </c>
      <c r="B12" t="n">
        <v>1</v>
      </c>
    </row>
    <row r="13">
      <c r="A13" t="inlineStr">
        <is>
          <t>A:A,"South",RawData</t>
        </is>
      </c>
      <c r="B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Named Ranges &amp; Variables</t>
        </is>
      </c>
    </row>
    <row r="3">
      <c r="A3" s="4" t="inlineStr">
        <is>
          <t>Name</t>
        </is>
      </c>
      <c r="B3" s="4" t="inlineStr">
        <is>
          <t>Hidden</t>
        </is>
      </c>
      <c r="C3" s="4" t="inlineStr">
        <is>
          <t>Reference</t>
        </is>
      </c>
    </row>
    <row r="4">
      <c r="A4" t="inlineStr">
        <is>
          <t>TotalSales</t>
        </is>
      </c>
      <c r="B4" t="b">
        <v>0</v>
      </c>
      <c r="C4" t="inlineStr">
        <is>
          <t>SummaryDashboard!$B$3</t>
        </is>
      </c>
    </row>
    <row r="5">
      <c r="A5" t="inlineStr">
        <is>
          <t>MacroVersion</t>
        </is>
      </c>
      <c r="B5" t="b">
        <v>1</v>
      </c>
      <c r="C5" t="inlineStr">
        <is>
          <t>_HiddenControl!$B$1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 Recommendations &amp; Next Steps</t>
        </is>
      </c>
    </row>
    <row r="3">
      <c r="A3" t="inlineStr">
        <is>
          <t>1. Review all High severity issues first.</t>
        </is>
      </c>
    </row>
    <row r="4">
      <c r="A4" t="inlineStr">
        <is>
          <t>2. Consider centralizing assumptions if many are scattered.</t>
        </is>
      </c>
    </row>
    <row r="5">
      <c r="A5" t="inlineStr">
        <is>
          <t>3. For verified values, run xlsx skill's recalc.py on the source file before re-analysis.</t>
        </is>
      </c>
    </row>
    <row r="6">
      <c r="A6" t="inlineStr">
        <is>
          <t>4. After understanding the model, use the xlsx skill to refactor or recreate it cleanly.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2026-06-09T09:02:51Z</dcterms:created>
  <dcterms:modified xmlns:dcterms="http://purl.org/dc/terms/" xmlns:xsi="http://www.w3.org/2001/XMLSchema-instance" xsi:type="dcterms:W3CDTF">2026-06-09T09:02:51Z</dcterms:modified>
</cp:coreProperties>
</file>