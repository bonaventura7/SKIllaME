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SummaryDashboard" sheetId="2" state="visible" r:id="rId2"/>
    <sheet xmlns:r="http://schemas.openxmlformats.org/officeDocument/2006/relationships" name="PivotAnalysis" sheetId="3" state="visible" r:id="rId3"/>
    <sheet xmlns:r="http://schemas.openxmlformats.org/officeDocument/2006/relationships" name="MacroSimulation" sheetId="4" state="visible" r:id="rId4"/>
    <sheet xmlns:r="http://schemas.openxmlformats.org/officeDocument/2006/relationships" name="_HiddenControl" sheetId="5" state="veryHidden" r:id="rId5"/>
  </sheets>
  <definedNames>
    <definedName name="TotalSales">SummaryDashboard!$B$3</definedName>
    <definedName name="MacroVersion" hidden="1">_HiddenControl!$B$1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RE Skill</author>
  </authors>
  <commentList>
    <comment ref="A1" authorId="0" shapeId="0">
      <text>
        <t>Macro simulation. Real .xlsm files contain a vbaProject.bin part (OLE). For RE purposes this sheet + comments represent macro presence.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Quarter</t>
        </is>
      </c>
      <c r="E1" t="inlineStr">
        <is>
          <t>Sales</t>
        </is>
      </c>
      <c r="F1" t="inlineStr">
        <is>
          <t>Cost</t>
        </is>
      </c>
      <c r="G1" t="inlineStr">
        <is>
          <t>Units</t>
        </is>
      </c>
    </row>
    <row r="2">
      <c r="A2" t="inlineStr">
        <is>
          <t>North</t>
        </is>
      </c>
      <c r="B2" t="inlineStr">
        <is>
          <t>Widget A</t>
        </is>
      </c>
      <c r="C2" t="n">
        <v>2025</v>
      </c>
      <c r="D2" t="inlineStr">
        <is>
          <t>Q3</t>
        </is>
      </c>
      <c r="E2" t="n">
        <v>1034.6</v>
      </c>
      <c r="F2" t="n">
        <v>620.76</v>
      </c>
      <c r="G2" t="n">
        <v>53</v>
      </c>
    </row>
    <row r="3">
      <c r="A3" t="inlineStr">
        <is>
          <t>South</t>
        </is>
      </c>
      <c r="B3" t="inlineStr">
        <is>
          <t>Widget B</t>
        </is>
      </c>
      <c r="C3" t="n">
        <v>2023</v>
      </c>
      <c r="D3" t="inlineStr">
        <is>
          <t>Q4</t>
        </is>
      </c>
      <c r="E3" t="n">
        <v>1051.9</v>
      </c>
      <c r="F3" t="n">
        <v>631.14</v>
      </c>
      <c r="G3" t="n">
        <v>55</v>
      </c>
    </row>
    <row r="4">
      <c r="A4" t="inlineStr">
        <is>
          <t>East</t>
        </is>
      </c>
      <c r="B4" t="inlineStr">
        <is>
          <t>Service X</t>
        </is>
      </c>
      <c r="C4" t="n">
        <v>2024</v>
      </c>
      <c r="D4" t="inlineStr">
        <is>
          <t>Q1</t>
        </is>
      </c>
      <c r="E4" t="n">
        <v>1069.2</v>
      </c>
      <c r="F4" t="n">
        <v>641.52</v>
      </c>
      <c r="G4" t="n">
        <v>56</v>
      </c>
    </row>
    <row r="5">
      <c r="A5" t="inlineStr">
        <is>
          <t>West</t>
        </is>
      </c>
      <c r="B5" t="inlineStr">
        <is>
          <t>Widget A</t>
        </is>
      </c>
      <c r="C5" t="n">
        <v>2025</v>
      </c>
      <c r="D5" t="inlineStr">
        <is>
          <t>Q2</t>
        </is>
      </c>
      <c r="E5" t="n">
        <v>1086.5</v>
      </c>
      <c r="F5" t="n">
        <v>651.9</v>
      </c>
      <c r="G5" t="n">
        <v>58</v>
      </c>
    </row>
    <row r="6">
      <c r="A6" t="inlineStr">
        <is>
          <t>North</t>
        </is>
      </c>
      <c r="B6" t="inlineStr">
        <is>
          <t>Widget B</t>
        </is>
      </c>
      <c r="C6" t="n">
        <v>2023</v>
      </c>
      <c r="D6" t="inlineStr">
        <is>
          <t>Q3</t>
        </is>
      </c>
      <c r="E6" t="n">
        <v>1103.8</v>
      </c>
      <c r="F6" t="n">
        <v>662.28</v>
      </c>
      <c r="G6" t="n">
        <v>60</v>
      </c>
    </row>
    <row r="7">
      <c r="A7" t="inlineStr">
        <is>
          <t>South</t>
        </is>
      </c>
      <c r="B7" t="inlineStr">
        <is>
          <t>Service X</t>
        </is>
      </c>
      <c r="C7" t="n">
        <v>2024</v>
      </c>
      <c r="D7" t="inlineStr">
        <is>
          <t>Q4</t>
        </is>
      </c>
      <c r="E7" t="n">
        <v>1121.1</v>
      </c>
      <c r="F7" t="n">
        <v>672.66</v>
      </c>
      <c r="G7" t="n">
        <v>61</v>
      </c>
    </row>
    <row r="8">
      <c r="A8" t="inlineStr">
        <is>
          <t>East</t>
        </is>
      </c>
      <c r="B8" t="inlineStr">
        <is>
          <t>Widget A</t>
        </is>
      </c>
      <c r="C8" t="n">
        <v>2025</v>
      </c>
      <c r="D8" t="inlineStr">
        <is>
          <t>Q1</t>
        </is>
      </c>
      <c r="E8" t="n">
        <v>1138.4</v>
      </c>
      <c r="F8" t="n">
        <v>683.04</v>
      </c>
      <c r="G8" t="n">
        <v>63</v>
      </c>
    </row>
    <row r="9">
      <c r="A9" t="inlineStr">
        <is>
          <t>West</t>
        </is>
      </c>
      <c r="B9" t="inlineStr">
        <is>
          <t>Widget B</t>
        </is>
      </c>
      <c r="C9" t="n">
        <v>2023</v>
      </c>
      <c r="D9" t="inlineStr">
        <is>
          <t>Q2</t>
        </is>
      </c>
      <c r="E9" t="n">
        <v>1155.7</v>
      </c>
      <c r="F9" t="n">
        <v>693.42</v>
      </c>
      <c r="G9" t="n">
        <v>65</v>
      </c>
    </row>
    <row r="10">
      <c r="A10" t="inlineStr">
        <is>
          <t>North</t>
        </is>
      </c>
      <c r="B10" t="inlineStr">
        <is>
          <t>Service X</t>
        </is>
      </c>
      <c r="C10" t="n">
        <v>2024</v>
      </c>
      <c r="D10" t="inlineStr">
        <is>
          <t>Q3</t>
        </is>
      </c>
      <c r="E10" t="n">
        <v>1173</v>
      </c>
      <c r="F10" t="n">
        <v>703.8</v>
      </c>
      <c r="G10" t="n">
        <v>67</v>
      </c>
    </row>
    <row r="11">
      <c r="A11" t="inlineStr">
        <is>
          <t>South</t>
        </is>
      </c>
      <c r="B11" t="inlineStr">
        <is>
          <t>Widget A</t>
        </is>
      </c>
      <c r="C11" t="n">
        <v>2025</v>
      </c>
      <c r="D11" t="inlineStr">
        <is>
          <t>Q4</t>
        </is>
      </c>
      <c r="E11" t="n">
        <v>1190.3</v>
      </c>
      <c r="F11" t="n">
        <v>714.1799999999999</v>
      </c>
      <c r="G11" t="n">
        <v>68</v>
      </c>
    </row>
    <row r="12">
      <c r="A12" t="inlineStr">
        <is>
          <t>East</t>
        </is>
      </c>
      <c r="B12" t="inlineStr">
        <is>
          <t>Widget B</t>
        </is>
      </c>
      <c r="C12" t="n">
        <v>2023</v>
      </c>
      <c r="D12" t="inlineStr">
        <is>
          <t>Q1</t>
        </is>
      </c>
      <c r="E12" t="n">
        <v>1207.6</v>
      </c>
      <c r="F12" t="n">
        <v>724.5599999999999</v>
      </c>
      <c r="G12" t="n">
        <v>70</v>
      </c>
    </row>
    <row r="13">
      <c r="A13" t="inlineStr">
        <is>
          <t>West</t>
        </is>
      </c>
      <c r="B13" t="inlineStr">
        <is>
          <t>Service X</t>
        </is>
      </c>
      <c r="C13" t="n">
        <v>2024</v>
      </c>
      <c r="D13" t="inlineStr">
        <is>
          <t>Q2</t>
        </is>
      </c>
      <c r="E13" t="n">
        <v>1224.9</v>
      </c>
      <c r="F13" t="n">
        <v>734.9400000000001</v>
      </c>
      <c r="G13" t="n">
        <v>72</v>
      </c>
    </row>
    <row r="14">
      <c r="A14" t="inlineStr">
        <is>
          <t>North</t>
        </is>
      </c>
      <c r="B14" t="inlineStr">
        <is>
          <t>Widget A</t>
        </is>
      </c>
      <c r="C14" t="n">
        <v>2025</v>
      </c>
      <c r="D14" t="inlineStr">
        <is>
          <t>Q3</t>
        </is>
      </c>
      <c r="E14" t="n">
        <v>1242.2</v>
      </c>
      <c r="F14" t="n">
        <v>745.3200000000001</v>
      </c>
      <c r="G14" t="n">
        <v>73</v>
      </c>
    </row>
    <row r="15">
      <c r="A15" t="inlineStr">
        <is>
          <t>South</t>
        </is>
      </c>
      <c r="B15" t="inlineStr">
        <is>
          <t>Widget B</t>
        </is>
      </c>
      <c r="C15" t="n">
        <v>2023</v>
      </c>
      <c r="D15" t="inlineStr">
        <is>
          <t>Q4</t>
        </is>
      </c>
      <c r="E15" t="n">
        <v>1259.5</v>
      </c>
      <c r="F15" t="n">
        <v>755.7</v>
      </c>
      <c r="G15" t="n">
        <v>75</v>
      </c>
    </row>
    <row r="16">
      <c r="A16" t="inlineStr">
        <is>
          <t>East</t>
        </is>
      </c>
      <c r="B16" t="inlineStr">
        <is>
          <t>Service X</t>
        </is>
      </c>
      <c r="C16" t="n">
        <v>2024</v>
      </c>
      <c r="D16" t="inlineStr">
        <is>
          <t>Q1</t>
        </is>
      </c>
      <c r="E16" t="n">
        <v>1276.8</v>
      </c>
      <c r="F16" t="n">
        <v>766.08</v>
      </c>
      <c r="G16" t="n">
        <v>77</v>
      </c>
    </row>
    <row r="17">
      <c r="A17" t="inlineStr">
        <is>
          <t>West</t>
        </is>
      </c>
      <c r="B17" t="inlineStr">
        <is>
          <t>Widget A</t>
        </is>
      </c>
      <c r="C17" t="n">
        <v>2025</v>
      </c>
      <c r="D17" t="inlineStr">
        <is>
          <t>Q2</t>
        </is>
      </c>
      <c r="E17" t="n">
        <v>1294.1</v>
      </c>
      <c r="F17" t="n">
        <v>776.46</v>
      </c>
      <c r="G17" t="n">
        <v>78</v>
      </c>
    </row>
    <row r="18">
      <c r="A18" t="inlineStr">
        <is>
          <t>North</t>
        </is>
      </c>
      <c r="B18" t="inlineStr">
        <is>
          <t>Widget B</t>
        </is>
      </c>
      <c r="C18" t="n">
        <v>2023</v>
      </c>
      <c r="D18" t="inlineStr">
        <is>
          <t>Q3</t>
        </is>
      </c>
      <c r="E18" t="n">
        <v>1311.4</v>
      </c>
      <c r="F18" t="n">
        <v>786.84</v>
      </c>
      <c r="G18" t="n">
        <v>80</v>
      </c>
    </row>
    <row r="19">
      <c r="A19" t="inlineStr">
        <is>
          <t>South</t>
        </is>
      </c>
      <c r="B19" t="inlineStr">
        <is>
          <t>Service X</t>
        </is>
      </c>
      <c r="C19" t="n">
        <v>2024</v>
      </c>
      <c r="D19" t="inlineStr">
        <is>
          <t>Q4</t>
        </is>
      </c>
      <c r="E19" t="n">
        <v>1328.7</v>
      </c>
      <c r="F19" t="n">
        <v>797.22</v>
      </c>
      <c r="G19" t="n">
        <v>82</v>
      </c>
    </row>
    <row r="20">
      <c r="A20" t="inlineStr">
        <is>
          <t>East</t>
        </is>
      </c>
      <c r="B20" t="inlineStr">
        <is>
          <t>Widget A</t>
        </is>
      </c>
      <c r="C20" t="n">
        <v>2025</v>
      </c>
      <c r="D20" t="inlineStr">
        <is>
          <t>Q1</t>
        </is>
      </c>
      <c r="E20" t="n">
        <v>1346</v>
      </c>
      <c r="F20" t="n">
        <v>807.6</v>
      </c>
      <c r="G20" t="n">
        <v>84</v>
      </c>
    </row>
    <row r="21">
      <c r="A21" t="inlineStr">
        <is>
          <t>West</t>
        </is>
      </c>
      <c r="B21" t="inlineStr">
        <is>
          <t>Widget B</t>
        </is>
      </c>
      <c r="C21" t="n">
        <v>2023</v>
      </c>
      <c r="D21" t="inlineStr">
        <is>
          <t>Q2</t>
        </is>
      </c>
      <c r="E21" t="n">
        <v>1363.3</v>
      </c>
      <c r="F21" t="n">
        <v>817.98</v>
      </c>
      <c r="G21" t="n">
        <v>85</v>
      </c>
    </row>
    <row r="22">
      <c r="A22" t="inlineStr">
        <is>
          <t>North</t>
        </is>
      </c>
      <c r="B22" t="inlineStr">
        <is>
          <t>Service X</t>
        </is>
      </c>
      <c r="C22" t="n">
        <v>2024</v>
      </c>
      <c r="D22" t="inlineStr">
        <is>
          <t>Q3</t>
        </is>
      </c>
      <c r="E22" t="n">
        <v>1380.6</v>
      </c>
      <c r="F22" t="n">
        <v>828.36</v>
      </c>
      <c r="G22" t="n">
        <v>87</v>
      </c>
    </row>
    <row r="23">
      <c r="A23" t="inlineStr">
        <is>
          <t>South</t>
        </is>
      </c>
      <c r="B23" t="inlineStr">
        <is>
          <t>Widget A</t>
        </is>
      </c>
      <c r="C23" t="n">
        <v>2025</v>
      </c>
      <c r="D23" t="inlineStr">
        <is>
          <t>Q4</t>
        </is>
      </c>
      <c r="E23" t="n">
        <v>1397.9</v>
      </c>
      <c r="F23" t="n">
        <v>838.74</v>
      </c>
      <c r="G23" t="n">
        <v>89</v>
      </c>
    </row>
    <row r="24">
      <c r="A24" t="inlineStr">
        <is>
          <t>East</t>
        </is>
      </c>
      <c r="B24" t="inlineStr">
        <is>
          <t>Widget B</t>
        </is>
      </c>
      <c r="C24" t="n">
        <v>2023</v>
      </c>
      <c r="D24" t="inlineStr">
        <is>
          <t>Q1</t>
        </is>
      </c>
      <c r="E24" t="n">
        <v>1415.2</v>
      </c>
      <c r="F24" t="n">
        <v>849.12</v>
      </c>
      <c r="G24" t="n">
        <v>90</v>
      </c>
    </row>
    <row r="25">
      <c r="A25" t="inlineStr">
        <is>
          <t>West</t>
        </is>
      </c>
      <c r="B25" t="inlineStr">
        <is>
          <t>Service X</t>
        </is>
      </c>
      <c r="C25" t="n">
        <v>2024</v>
      </c>
      <c r="D25" t="inlineStr">
        <is>
          <t>Q2</t>
        </is>
      </c>
      <c r="E25" t="n">
        <v>1432.5</v>
      </c>
      <c r="F25" t="n">
        <v>859.5</v>
      </c>
      <c r="G25" t="n">
        <v>92</v>
      </c>
    </row>
    <row r="26">
      <c r="A26" t="inlineStr">
        <is>
          <t>North</t>
        </is>
      </c>
      <c r="B26" t="inlineStr">
        <is>
          <t>Widget A</t>
        </is>
      </c>
      <c r="C26" t="n">
        <v>2025</v>
      </c>
      <c r="D26" t="inlineStr">
        <is>
          <t>Q3</t>
        </is>
      </c>
      <c r="E26" t="n">
        <v>1449.8</v>
      </c>
      <c r="F26" t="n">
        <v>869.88</v>
      </c>
      <c r="G26" t="n">
        <v>94</v>
      </c>
    </row>
    <row r="27">
      <c r="A27" t="inlineStr">
        <is>
          <t>South</t>
        </is>
      </c>
      <c r="B27" t="inlineStr">
        <is>
          <t>Widget B</t>
        </is>
      </c>
      <c r="C27" t="n">
        <v>2023</v>
      </c>
      <c r="D27" t="inlineStr">
        <is>
          <t>Q4</t>
        </is>
      </c>
      <c r="E27" t="n">
        <v>1467.1</v>
      </c>
      <c r="F27" t="n">
        <v>880.26</v>
      </c>
      <c r="G27" t="n">
        <v>95</v>
      </c>
    </row>
    <row r="28">
      <c r="A28" t="inlineStr">
        <is>
          <t>East</t>
        </is>
      </c>
      <c r="B28" t="inlineStr">
        <is>
          <t>Service X</t>
        </is>
      </c>
      <c r="C28" t="n">
        <v>2024</v>
      </c>
      <c r="D28" t="inlineStr">
        <is>
          <t>Q1</t>
        </is>
      </c>
      <c r="E28" t="n">
        <v>1484.4</v>
      </c>
      <c r="F28" t="n">
        <v>890.64</v>
      </c>
      <c r="G28" t="n">
        <v>97</v>
      </c>
    </row>
    <row r="29">
      <c r="A29" t="inlineStr">
        <is>
          <t>West</t>
        </is>
      </c>
      <c r="B29" t="inlineStr">
        <is>
          <t>Widget A</t>
        </is>
      </c>
      <c r="C29" t="n">
        <v>2025</v>
      </c>
      <c r="D29" t="inlineStr">
        <is>
          <t>Q2</t>
        </is>
      </c>
      <c r="E29" t="n">
        <v>1501.7</v>
      </c>
      <c r="F29" t="n">
        <v>901.02</v>
      </c>
      <c r="G29" t="n">
        <v>99</v>
      </c>
    </row>
    <row r="30">
      <c r="A30" t="inlineStr">
        <is>
          <t>North</t>
        </is>
      </c>
      <c r="B30" t="inlineStr">
        <is>
          <t>Widget B</t>
        </is>
      </c>
      <c r="C30" t="n">
        <v>2023</v>
      </c>
      <c r="D30" t="inlineStr">
        <is>
          <t>Q3</t>
        </is>
      </c>
      <c r="E30" t="n">
        <v>1519</v>
      </c>
      <c r="F30" t="n">
        <v>911.4</v>
      </c>
      <c r="G30" t="n">
        <v>101</v>
      </c>
    </row>
    <row r="31">
      <c r="A31" t="inlineStr">
        <is>
          <t>South</t>
        </is>
      </c>
      <c r="B31" t="inlineStr">
        <is>
          <t>Service X</t>
        </is>
      </c>
      <c r="C31" t="n">
        <v>2024</v>
      </c>
      <c r="D31" t="inlineStr">
        <is>
          <t>Q4</t>
        </is>
      </c>
      <c r="E31" t="n">
        <v>1536.3</v>
      </c>
      <c r="F31" t="n">
        <v>921.78</v>
      </c>
      <c r="G31" t="n">
        <v>102</v>
      </c>
    </row>
    <row r="32">
      <c r="A32" t="inlineStr">
        <is>
          <t>East</t>
        </is>
      </c>
      <c r="B32" t="inlineStr">
        <is>
          <t>Widget A</t>
        </is>
      </c>
      <c r="C32" t="n">
        <v>2025</v>
      </c>
      <c r="D32" t="inlineStr">
        <is>
          <t>Q1</t>
        </is>
      </c>
      <c r="E32" t="n">
        <v>1553.6</v>
      </c>
      <c r="F32" t="n">
        <v>932.16</v>
      </c>
      <c r="G32" t="n">
        <v>104</v>
      </c>
    </row>
    <row r="33">
      <c r="A33" t="inlineStr">
        <is>
          <t>West</t>
        </is>
      </c>
      <c r="B33" t="inlineStr">
        <is>
          <t>Widget B</t>
        </is>
      </c>
      <c r="C33" t="n">
        <v>2023</v>
      </c>
      <c r="D33" t="inlineStr">
        <is>
          <t>Q2</t>
        </is>
      </c>
      <c r="E33" t="n">
        <v>1570.9</v>
      </c>
      <c r="F33" t="n">
        <v>942.54</v>
      </c>
      <c r="G33" t="n">
        <v>106</v>
      </c>
    </row>
    <row r="34">
      <c r="A34" t="inlineStr">
        <is>
          <t>North</t>
        </is>
      </c>
      <c r="B34" t="inlineStr">
        <is>
          <t>Service X</t>
        </is>
      </c>
      <c r="C34" t="n">
        <v>2024</v>
      </c>
      <c r="D34" t="inlineStr">
        <is>
          <t>Q3</t>
        </is>
      </c>
      <c r="E34" t="n">
        <v>1588.2</v>
      </c>
      <c r="F34" t="n">
        <v>952.92</v>
      </c>
      <c r="G34" t="n">
        <v>107</v>
      </c>
    </row>
    <row r="35">
      <c r="A35" t="inlineStr">
        <is>
          <t>South</t>
        </is>
      </c>
      <c r="B35" t="inlineStr">
        <is>
          <t>Widget A</t>
        </is>
      </c>
      <c r="C35" t="n">
        <v>2025</v>
      </c>
      <c r="D35" t="inlineStr">
        <is>
          <t>Q4</t>
        </is>
      </c>
      <c r="E35" t="n">
        <v>1605.5</v>
      </c>
      <c r="F35" t="n">
        <v>963.3</v>
      </c>
      <c r="G35" t="n">
        <v>109</v>
      </c>
    </row>
    <row r="36">
      <c r="A36" t="inlineStr">
        <is>
          <t>East</t>
        </is>
      </c>
      <c r="B36" t="inlineStr">
        <is>
          <t>Widget B</t>
        </is>
      </c>
      <c r="C36" t="n">
        <v>2023</v>
      </c>
      <c r="D36" t="inlineStr">
        <is>
          <t>Q1</t>
        </is>
      </c>
      <c r="E36" t="n">
        <v>1622.8</v>
      </c>
      <c r="F36" t="n">
        <v>973.6799999999999</v>
      </c>
      <c r="G36" t="n">
        <v>111</v>
      </c>
    </row>
    <row r="37">
      <c r="A37" t="inlineStr">
        <is>
          <t>West</t>
        </is>
      </c>
      <c r="B37" t="inlineStr">
        <is>
          <t>Service X</t>
        </is>
      </c>
      <c r="C37" t="n">
        <v>2024</v>
      </c>
      <c r="D37" t="inlineStr">
        <is>
          <t>Q2</t>
        </is>
      </c>
      <c r="E37" t="n">
        <v>1640.1</v>
      </c>
      <c r="F37" t="n">
        <v>984.0599999999999</v>
      </c>
      <c r="G37" t="n">
        <v>112</v>
      </c>
    </row>
    <row r="38">
      <c r="A38" t="inlineStr">
        <is>
          <t>North</t>
        </is>
      </c>
      <c r="B38" t="inlineStr">
        <is>
          <t>Widget A</t>
        </is>
      </c>
      <c r="C38" t="n">
        <v>2025</v>
      </c>
      <c r="D38" t="inlineStr">
        <is>
          <t>Q3</t>
        </is>
      </c>
      <c r="E38" t="n">
        <v>1657.4</v>
      </c>
      <c r="F38" t="n">
        <v>994.4400000000001</v>
      </c>
      <c r="G38" t="n">
        <v>114</v>
      </c>
    </row>
    <row r="39">
      <c r="A39" t="inlineStr">
        <is>
          <t>South</t>
        </is>
      </c>
      <c r="B39" t="inlineStr">
        <is>
          <t>Widget B</t>
        </is>
      </c>
      <c r="C39" t="n">
        <v>2023</v>
      </c>
      <c r="D39" t="inlineStr">
        <is>
          <t>Q4</t>
        </is>
      </c>
      <c r="E39" t="n">
        <v>1674.7</v>
      </c>
      <c r="F39" t="n">
        <v>1004.82</v>
      </c>
      <c r="G39" t="n">
        <v>116</v>
      </c>
    </row>
    <row r="40">
      <c r="A40" t="inlineStr">
        <is>
          <t>East</t>
        </is>
      </c>
      <c r="B40" t="inlineStr">
        <is>
          <t>Service X</t>
        </is>
      </c>
      <c r="C40" t="n">
        <v>2024</v>
      </c>
      <c r="D40" t="inlineStr">
        <is>
          <t>Q1</t>
        </is>
      </c>
      <c r="E40" t="n">
        <v>1692</v>
      </c>
      <c r="F40" t="n">
        <v>1015.2</v>
      </c>
      <c r="G40" t="n">
        <v>118</v>
      </c>
    </row>
    <row r="41">
      <c r="A41" t="inlineStr">
        <is>
          <t>West</t>
        </is>
      </c>
      <c r="B41" t="inlineStr">
        <is>
          <t>Widget A</t>
        </is>
      </c>
      <c r="C41" t="n">
        <v>2025</v>
      </c>
      <c r="D41" t="inlineStr">
        <is>
          <t>Q2</t>
        </is>
      </c>
      <c r="E41" t="n">
        <v>1709.3</v>
      </c>
      <c r="F41" t="n">
        <v>1025.58</v>
      </c>
      <c r="G41" t="n">
        <v>119</v>
      </c>
    </row>
    <row r="42">
      <c r="A42" t="inlineStr">
        <is>
          <t>North</t>
        </is>
      </c>
      <c r="B42" t="inlineStr">
        <is>
          <t>Widget B</t>
        </is>
      </c>
      <c r="C42" t="n">
        <v>2023</v>
      </c>
      <c r="D42" t="inlineStr">
        <is>
          <t>Q3</t>
        </is>
      </c>
      <c r="E42" t="n">
        <v>1726.6</v>
      </c>
      <c r="F42" t="n">
        <v>1035.96</v>
      </c>
      <c r="G42" t="n">
        <v>121</v>
      </c>
    </row>
    <row r="43">
      <c r="A43" t="inlineStr">
        <is>
          <t>South</t>
        </is>
      </c>
      <c r="B43" t="inlineStr">
        <is>
          <t>Service X</t>
        </is>
      </c>
      <c r="C43" t="n">
        <v>2024</v>
      </c>
      <c r="D43" t="inlineStr">
        <is>
          <t>Q4</t>
        </is>
      </c>
      <c r="E43" t="n">
        <v>1743.9</v>
      </c>
      <c r="F43" t="n">
        <v>1046.34</v>
      </c>
      <c r="G43" t="n">
        <v>123</v>
      </c>
    </row>
    <row r="44">
      <c r="A44" t="inlineStr">
        <is>
          <t>East</t>
        </is>
      </c>
      <c r="B44" t="inlineStr">
        <is>
          <t>Widget A</t>
        </is>
      </c>
      <c r="C44" t="n">
        <v>2025</v>
      </c>
      <c r="D44" t="inlineStr">
        <is>
          <t>Q1</t>
        </is>
      </c>
      <c r="E44" t="n">
        <v>1761.2</v>
      </c>
      <c r="F44" t="n">
        <v>1056.72</v>
      </c>
      <c r="G44" t="n">
        <v>124</v>
      </c>
    </row>
    <row r="45">
      <c r="A45" t="inlineStr">
        <is>
          <t>West</t>
        </is>
      </c>
      <c r="B45" t="inlineStr">
        <is>
          <t>Widget B</t>
        </is>
      </c>
      <c r="C45" t="n">
        <v>2023</v>
      </c>
      <c r="D45" t="inlineStr">
        <is>
          <t>Q2</t>
        </is>
      </c>
      <c r="E45" t="n">
        <v>1778.5</v>
      </c>
      <c r="F45" t="n">
        <v>1067.1</v>
      </c>
      <c r="G45" t="n">
        <v>126</v>
      </c>
    </row>
    <row r="46">
      <c r="A46" t="inlineStr">
        <is>
          <t>North</t>
        </is>
      </c>
      <c r="B46" t="inlineStr">
        <is>
          <t>Service X</t>
        </is>
      </c>
      <c r="C46" t="n">
        <v>2024</v>
      </c>
      <c r="D46" t="inlineStr">
        <is>
          <t>Q3</t>
        </is>
      </c>
      <c r="E46" t="n">
        <v>1795.8</v>
      </c>
      <c r="F46" t="n">
        <v>1077.48</v>
      </c>
      <c r="G46" t="n">
        <v>128</v>
      </c>
    </row>
    <row r="47">
      <c r="A47" t="inlineStr">
        <is>
          <t>South</t>
        </is>
      </c>
      <c r="B47" t="inlineStr">
        <is>
          <t>Widget A</t>
        </is>
      </c>
      <c r="C47" t="n">
        <v>2025</v>
      </c>
      <c r="D47" t="inlineStr">
        <is>
          <t>Q4</t>
        </is>
      </c>
      <c r="E47" t="n">
        <v>1813.1</v>
      </c>
      <c r="F47" t="n">
        <v>1087.86</v>
      </c>
      <c r="G47" t="n">
        <v>129</v>
      </c>
    </row>
    <row r="48">
      <c r="A48" t="inlineStr">
        <is>
          <t>East</t>
        </is>
      </c>
      <c r="B48" t="inlineStr">
        <is>
          <t>Widget B</t>
        </is>
      </c>
      <c r="C48" t="n">
        <v>2023</v>
      </c>
      <c r="D48" t="inlineStr">
        <is>
          <t>Q1</t>
        </is>
      </c>
      <c r="E48" t="n">
        <v>1830.4</v>
      </c>
      <c r="F48" t="n">
        <v>1098.24</v>
      </c>
      <c r="G48" t="n">
        <v>131</v>
      </c>
    </row>
    <row r="49">
      <c r="A49" t="inlineStr">
        <is>
          <t>West</t>
        </is>
      </c>
      <c r="B49" t="inlineStr">
        <is>
          <t>Service X</t>
        </is>
      </c>
      <c r="C49" t="n">
        <v>2024</v>
      </c>
      <c r="D49" t="inlineStr">
        <is>
          <t>Q2</t>
        </is>
      </c>
      <c r="E49" t="n">
        <v>1847.7</v>
      </c>
      <c r="F49" t="n">
        <v>1108.62</v>
      </c>
      <c r="G49" t="n">
        <v>133</v>
      </c>
    </row>
    <row r="50">
      <c r="A50" t="inlineStr">
        <is>
          <t>North</t>
        </is>
      </c>
      <c r="B50" t="inlineStr">
        <is>
          <t>Widget A</t>
        </is>
      </c>
      <c r="C50" t="n">
        <v>2025</v>
      </c>
      <c r="D50" t="inlineStr">
        <is>
          <t>Q3</t>
        </is>
      </c>
      <c r="E50" t="n">
        <v>1865</v>
      </c>
      <c r="F50" t="n">
        <v>1119</v>
      </c>
      <c r="G50" t="n">
        <v>135</v>
      </c>
    </row>
    <row r="51">
      <c r="A51" t="inlineStr">
        <is>
          <t>South</t>
        </is>
      </c>
      <c r="B51" t="inlineStr">
        <is>
          <t>Widget B</t>
        </is>
      </c>
      <c r="C51" t="n">
        <v>2023</v>
      </c>
      <c r="D51" t="inlineStr">
        <is>
          <t>Q4</t>
        </is>
      </c>
      <c r="E51" t="n">
        <v>1882.3</v>
      </c>
      <c r="F51" t="n">
        <v>1129.38</v>
      </c>
      <c r="G51" t="n">
        <v>136</v>
      </c>
    </row>
    <row r="52">
      <c r="A52" t="inlineStr">
        <is>
          <t>East</t>
        </is>
      </c>
      <c r="B52" t="inlineStr">
        <is>
          <t>Service X</t>
        </is>
      </c>
      <c r="C52" t="n">
        <v>2024</v>
      </c>
      <c r="D52" t="inlineStr">
        <is>
          <t>Q1</t>
        </is>
      </c>
      <c r="E52" t="n">
        <v>1899.6</v>
      </c>
      <c r="F52" t="n">
        <v>1139.76</v>
      </c>
      <c r="G52" t="n">
        <v>138</v>
      </c>
    </row>
    <row r="53">
      <c r="A53" t="inlineStr">
        <is>
          <t>West</t>
        </is>
      </c>
      <c r="B53" t="inlineStr">
        <is>
          <t>Widget A</t>
        </is>
      </c>
      <c r="C53" t="n">
        <v>2025</v>
      </c>
      <c r="D53" t="inlineStr">
        <is>
          <t>Q2</t>
        </is>
      </c>
      <c r="E53" t="n">
        <v>1916.9</v>
      </c>
      <c r="F53" t="n">
        <v>1150.14</v>
      </c>
      <c r="G53" t="n">
        <v>140</v>
      </c>
    </row>
    <row r="54">
      <c r="A54" t="inlineStr">
        <is>
          <t>North</t>
        </is>
      </c>
      <c r="B54" t="inlineStr">
        <is>
          <t>Widget B</t>
        </is>
      </c>
      <c r="C54" t="n">
        <v>2023</v>
      </c>
      <c r="D54" t="inlineStr">
        <is>
          <t>Q3</t>
        </is>
      </c>
      <c r="E54" t="n">
        <v>1934.2</v>
      </c>
      <c r="F54" t="n">
        <v>1160.52</v>
      </c>
      <c r="G54" t="n">
        <v>141</v>
      </c>
    </row>
    <row r="55">
      <c r="A55" t="inlineStr">
        <is>
          <t>South</t>
        </is>
      </c>
      <c r="B55" t="inlineStr">
        <is>
          <t>Service X</t>
        </is>
      </c>
      <c r="C55" t="n">
        <v>2024</v>
      </c>
      <c r="D55" t="inlineStr">
        <is>
          <t>Q4</t>
        </is>
      </c>
      <c r="E55" t="n">
        <v>1951.5</v>
      </c>
      <c r="F55" t="n">
        <v>1170.9</v>
      </c>
      <c r="G55" t="n">
        <v>143</v>
      </c>
    </row>
    <row r="56">
      <c r="A56" t="inlineStr">
        <is>
          <t>East</t>
        </is>
      </c>
      <c r="B56" t="inlineStr">
        <is>
          <t>Widget A</t>
        </is>
      </c>
      <c r="C56" t="n">
        <v>2025</v>
      </c>
      <c r="D56" t="inlineStr">
        <is>
          <t>Q1</t>
        </is>
      </c>
      <c r="E56" t="n">
        <v>1968.8</v>
      </c>
      <c r="F56" t="n">
        <v>1181.28</v>
      </c>
      <c r="G56" t="n">
        <v>145</v>
      </c>
    </row>
    <row r="57">
      <c r="A57" t="inlineStr">
        <is>
          <t>West</t>
        </is>
      </c>
      <c r="B57" t="inlineStr">
        <is>
          <t>Widget B</t>
        </is>
      </c>
      <c r="C57" t="n">
        <v>2023</v>
      </c>
      <c r="D57" t="inlineStr">
        <is>
          <t>Q2</t>
        </is>
      </c>
      <c r="E57" t="n">
        <v>1986.1</v>
      </c>
      <c r="F57" t="n">
        <v>1191.66</v>
      </c>
      <c r="G57" t="n">
        <v>146</v>
      </c>
    </row>
    <row r="58">
      <c r="A58" t="inlineStr">
        <is>
          <t>North</t>
        </is>
      </c>
      <c r="B58" t="inlineStr">
        <is>
          <t>Service X</t>
        </is>
      </c>
      <c r="C58" t="n">
        <v>2024</v>
      </c>
      <c r="D58" t="inlineStr">
        <is>
          <t>Q3</t>
        </is>
      </c>
      <c r="E58" t="n">
        <v>2003.4</v>
      </c>
      <c r="F58" t="n">
        <v>1202.04</v>
      </c>
      <c r="G58" t="n">
        <v>148</v>
      </c>
    </row>
    <row r="59">
      <c r="A59" t="inlineStr">
        <is>
          <t>South</t>
        </is>
      </c>
      <c r="B59" t="inlineStr">
        <is>
          <t>Widget A</t>
        </is>
      </c>
      <c r="C59" t="n">
        <v>2025</v>
      </c>
      <c r="D59" t="inlineStr">
        <is>
          <t>Q4</t>
        </is>
      </c>
      <c r="E59" t="n">
        <v>2020.7</v>
      </c>
      <c r="F59" t="n">
        <v>1212.42</v>
      </c>
      <c r="G59" t="n">
        <v>150</v>
      </c>
    </row>
    <row r="60">
      <c r="A60" t="inlineStr">
        <is>
          <t>East</t>
        </is>
      </c>
      <c r="B60" t="inlineStr">
        <is>
          <t>Widget B</t>
        </is>
      </c>
      <c r="C60" t="n">
        <v>2023</v>
      </c>
      <c r="D60" t="inlineStr">
        <is>
          <t>Q1</t>
        </is>
      </c>
      <c r="E60" t="n">
        <v>2038</v>
      </c>
      <c r="F60" t="n">
        <v>1222.8</v>
      </c>
      <c r="G60" t="n">
        <v>152</v>
      </c>
    </row>
    <row r="61">
      <c r="A61" t="inlineStr">
        <is>
          <t>West</t>
        </is>
      </c>
      <c r="B61" t="inlineStr">
        <is>
          <t>Service X</t>
        </is>
      </c>
      <c r="C61" t="n">
        <v>2024</v>
      </c>
      <c r="D61" t="inlineStr">
        <is>
          <t>Q2</t>
        </is>
      </c>
      <c r="E61" t="n">
        <v>2055.3</v>
      </c>
      <c r="F61" t="n">
        <v>1233.18</v>
      </c>
      <c r="G61" t="n">
        <v>153</v>
      </c>
    </row>
    <row r="62">
      <c r="A62" t="inlineStr">
        <is>
          <t>North</t>
        </is>
      </c>
      <c r="B62" t="inlineStr">
        <is>
          <t>Widget A</t>
        </is>
      </c>
      <c r="C62" t="n">
        <v>2025</v>
      </c>
      <c r="D62" t="inlineStr">
        <is>
          <t>Q3</t>
        </is>
      </c>
      <c r="E62" t="n">
        <v>2072.6</v>
      </c>
      <c r="F62" t="n">
        <v>1243.56</v>
      </c>
      <c r="G62" t="n">
        <v>155</v>
      </c>
    </row>
    <row r="63">
      <c r="A63" t="inlineStr">
        <is>
          <t>South</t>
        </is>
      </c>
      <c r="B63" t="inlineStr">
        <is>
          <t>Widget B</t>
        </is>
      </c>
      <c r="C63" t="n">
        <v>2023</v>
      </c>
      <c r="D63" t="inlineStr">
        <is>
          <t>Q4</t>
        </is>
      </c>
      <c r="E63" t="n">
        <v>2089.9</v>
      </c>
      <c r="F63" t="n">
        <v>1253.94</v>
      </c>
      <c r="G63" t="n">
        <v>157</v>
      </c>
    </row>
    <row r="64">
      <c r="A64" t="inlineStr">
        <is>
          <t>East</t>
        </is>
      </c>
      <c r="B64" t="inlineStr">
        <is>
          <t>Service X</t>
        </is>
      </c>
      <c r="C64" t="n">
        <v>2024</v>
      </c>
      <c r="D64" t="inlineStr">
        <is>
          <t>Q1</t>
        </is>
      </c>
      <c r="E64" t="n">
        <v>2107.2</v>
      </c>
      <c r="F64" t="n">
        <v>1264.32</v>
      </c>
      <c r="G64" t="n">
        <v>158</v>
      </c>
    </row>
    <row r="65">
      <c r="A65" t="inlineStr">
        <is>
          <t>West</t>
        </is>
      </c>
      <c r="B65" t="inlineStr">
        <is>
          <t>Widget A</t>
        </is>
      </c>
      <c r="C65" t="n">
        <v>2025</v>
      </c>
      <c r="D65" t="inlineStr">
        <is>
          <t>Q2</t>
        </is>
      </c>
      <c r="E65" t="n">
        <v>2124.5</v>
      </c>
      <c r="F65" t="n">
        <v>1274.7</v>
      </c>
      <c r="G65" t="n">
        <v>160</v>
      </c>
    </row>
    <row r="66">
      <c r="A66" t="inlineStr">
        <is>
          <t>North</t>
        </is>
      </c>
      <c r="B66" t="inlineStr">
        <is>
          <t>Widget B</t>
        </is>
      </c>
      <c r="C66" t="n">
        <v>2023</v>
      </c>
      <c r="D66" t="inlineStr">
        <is>
          <t>Q3</t>
        </is>
      </c>
      <c r="E66" t="n">
        <v>2141.8</v>
      </c>
      <c r="F66" t="n">
        <v>1285.08</v>
      </c>
      <c r="G66" t="n">
        <v>162</v>
      </c>
    </row>
    <row r="67">
      <c r="A67" t="inlineStr">
        <is>
          <t>South</t>
        </is>
      </c>
      <c r="B67" t="inlineStr">
        <is>
          <t>Service X</t>
        </is>
      </c>
      <c r="C67" t="n">
        <v>2024</v>
      </c>
      <c r="D67" t="inlineStr">
        <is>
          <t>Q4</t>
        </is>
      </c>
      <c r="E67" t="n">
        <v>2159.1</v>
      </c>
      <c r="F67" t="n">
        <v>1295.46</v>
      </c>
      <c r="G67" t="n">
        <v>163</v>
      </c>
    </row>
    <row r="68">
      <c r="A68" t="inlineStr">
        <is>
          <t>East</t>
        </is>
      </c>
      <c r="B68" t="inlineStr">
        <is>
          <t>Widget A</t>
        </is>
      </c>
      <c r="C68" t="n">
        <v>2025</v>
      </c>
      <c r="D68" t="inlineStr">
        <is>
          <t>Q1</t>
        </is>
      </c>
      <c r="E68" t="n">
        <v>2176.4</v>
      </c>
      <c r="F68" t="n">
        <v>1305.84</v>
      </c>
      <c r="G68" t="n">
        <v>165</v>
      </c>
    </row>
    <row r="69">
      <c r="A69" t="inlineStr">
        <is>
          <t>West</t>
        </is>
      </c>
      <c r="B69" t="inlineStr">
        <is>
          <t>Widget B</t>
        </is>
      </c>
      <c r="C69" t="n">
        <v>2023</v>
      </c>
      <c r="D69" t="inlineStr">
        <is>
          <t>Q2</t>
        </is>
      </c>
      <c r="E69" t="n">
        <v>2193.7</v>
      </c>
      <c r="F69" t="n">
        <v>1316.22</v>
      </c>
      <c r="G69" t="n">
        <v>167</v>
      </c>
    </row>
    <row r="70">
      <c r="A70" t="inlineStr">
        <is>
          <t>North</t>
        </is>
      </c>
      <c r="B70" t="inlineStr">
        <is>
          <t>Service X</t>
        </is>
      </c>
      <c r="C70" t="n">
        <v>2024</v>
      </c>
      <c r="D70" t="inlineStr">
        <is>
          <t>Q3</t>
        </is>
      </c>
      <c r="E70" t="n">
        <v>2211</v>
      </c>
      <c r="F70" t="n">
        <v>1326.6</v>
      </c>
      <c r="G70" t="n">
        <v>169</v>
      </c>
    </row>
    <row r="71">
      <c r="A71" t="inlineStr">
        <is>
          <t>South</t>
        </is>
      </c>
      <c r="B71" t="inlineStr">
        <is>
          <t>Widget A</t>
        </is>
      </c>
      <c r="C71" t="n">
        <v>2025</v>
      </c>
      <c r="D71" t="inlineStr">
        <is>
          <t>Q4</t>
        </is>
      </c>
      <c r="E71" t="n">
        <v>2228.3</v>
      </c>
      <c r="F71" t="n">
        <v>1336.98</v>
      </c>
      <c r="G71" t="n">
        <v>170</v>
      </c>
    </row>
    <row r="72">
      <c r="A72" t="inlineStr">
        <is>
          <t>East</t>
        </is>
      </c>
      <c r="B72" t="inlineStr">
        <is>
          <t>Widget B</t>
        </is>
      </c>
      <c r="C72" t="n">
        <v>2023</v>
      </c>
      <c r="D72" t="inlineStr">
        <is>
          <t>Q1</t>
        </is>
      </c>
      <c r="E72" t="n">
        <v>2245.6</v>
      </c>
      <c r="F72" t="n">
        <v>1347.36</v>
      </c>
      <c r="G72" t="n">
        <v>172</v>
      </c>
    </row>
    <row r="73">
      <c r="A73" t="inlineStr">
        <is>
          <t>West</t>
        </is>
      </c>
      <c r="B73" t="inlineStr">
        <is>
          <t>Service X</t>
        </is>
      </c>
      <c r="C73" t="n">
        <v>2024</v>
      </c>
      <c r="D73" t="inlineStr">
        <is>
          <t>Q2</t>
        </is>
      </c>
      <c r="E73" t="n">
        <v>2262.9</v>
      </c>
      <c r="F73" t="n">
        <v>1357.74</v>
      </c>
      <c r="G73" t="n">
        <v>174</v>
      </c>
    </row>
    <row r="74">
      <c r="A74" t="inlineStr">
        <is>
          <t>North</t>
        </is>
      </c>
      <c r="B74" t="inlineStr">
        <is>
          <t>Widget A</t>
        </is>
      </c>
      <c r="C74" t="n">
        <v>2025</v>
      </c>
      <c r="D74" t="inlineStr">
        <is>
          <t>Q3</t>
        </is>
      </c>
      <c r="E74" t="n">
        <v>2280.2</v>
      </c>
      <c r="F74" t="n">
        <v>1368.12</v>
      </c>
      <c r="G74" t="n">
        <v>175</v>
      </c>
    </row>
    <row r="75">
      <c r="A75" t="inlineStr">
        <is>
          <t>South</t>
        </is>
      </c>
      <c r="B75" t="inlineStr">
        <is>
          <t>Widget B</t>
        </is>
      </c>
      <c r="C75" t="n">
        <v>2023</v>
      </c>
      <c r="D75" t="inlineStr">
        <is>
          <t>Q4</t>
        </is>
      </c>
      <c r="E75" t="n">
        <v>2297.5</v>
      </c>
      <c r="F75" t="n">
        <v>1378.5</v>
      </c>
      <c r="G75" t="n">
        <v>177</v>
      </c>
    </row>
    <row r="76">
      <c r="A76" t="inlineStr">
        <is>
          <t>East</t>
        </is>
      </c>
      <c r="B76" t="inlineStr">
        <is>
          <t>Service X</t>
        </is>
      </c>
      <c r="C76" t="n">
        <v>2024</v>
      </c>
      <c r="D76" t="inlineStr">
        <is>
          <t>Q1</t>
        </is>
      </c>
      <c r="E76" t="n">
        <v>2314.8</v>
      </c>
      <c r="F76" t="n">
        <v>1388.88</v>
      </c>
      <c r="G76" t="n">
        <v>179</v>
      </c>
    </row>
    <row r="77">
      <c r="A77" t="inlineStr">
        <is>
          <t>West</t>
        </is>
      </c>
      <c r="B77" t="inlineStr">
        <is>
          <t>Widget A</t>
        </is>
      </c>
      <c r="C77" t="n">
        <v>2025</v>
      </c>
      <c r="D77" t="inlineStr">
        <is>
          <t>Q2</t>
        </is>
      </c>
      <c r="E77" t="n">
        <v>2332.1</v>
      </c>
      <c r="F77" t="n">
        <v>1399.26</v>
      </c>
      <c r="G77" t="n">
        <v>180</v>
      </c>
    </row>
    <row r="78">
      <c r="A78" t="inlineStr">
        <is>
          <t>North</t>
        </is>
      </c>
      <c r="B78" t="inlineStr">
        <is>
          <t>Widget B</t>
        </is>
      </c>
      <c r="C78" t="n">
        <v>2023</v>
      </c>
      <c r="D78" t="inlineStr">
        <is>
          <t>Q3</t>
        </is>
      </c>
      <c r="E78" t="n">
        <v>2349.4</v>
      </c>
      <c r="F78" t="n">
        <v>1409.64</v>
      </c>
      <c r="G78" t="n">
        <v>182</v>
      </c>
    </row>
    <row r="79">
      <c r="A79" t="inlineStr">
        <is>
          <t>South</t>
        </is>
      </c>
      <c r="B79" t="inlineStr">
        <is>
          <t>Service X</t>
        </is>
      </c>
      <c r="C79" t="n">
        <v>2024</v>
      </c>
      <c r="D79" t="inlineStr">
        <is>
          <t>Q4</t>
        </is>
      </c>
      <c r="E79" t="n">
        <v>2366.7</v>
      </c>
      <c r="F79" t="n">
        <v>1420.02</v>
      </c>
      <c r="G79" t="n">
        <v>184</v>
      </c>
    </row>
    <row r="80">
      <c r="A80" t="inlineStr">
        <is>
          <t>East</t>
        </is>
      </c>
      <c r="B80" t="inlineStr">
        <is>
          <t>Widget A</t>
        </is>
      </c>
      <c r="C80" t="n">
        <v>2025</v>
      </c>
      <c r="D80" t="inlineStr">
        <is>
          <t>Q1</t>
        </is>
      </c>
      <c r="E80" t="n">
        <v>2384</v>
      </c>
      <c r="F80" t="n">
        <v>1430.4</v>
      </c>
      <c r="G80" t="n">
        <v>186</v>
      </c>
    </row>
    <row r="81">
      <c r="A81" t="inlineStr">
        <is>
          <t>West</t>
        </is>
      </c>
      <c r="B81" t="inlineStr">
        <is>
          <t>Widget B</t>
        </is>
      </c>
      <c r="C81" t="n">
        <v>2023</v>
      </c>
      <c r="D81" t="inlineStr">
        <is>
          <t>Q2</t>
        </is>
      </c>
      <c r="E81" t="n">
        <v>2401.3</v>
      </c>
      <c r="F81" t="n">
        <v>1440.78</v>
      </c>
      <c r="G81" t="n">
        <v>187</v>
      </c>
    </row>
    <row r="82">
      <c r="A82" t="inlineStr">
        <is>
          <t>North</t>
        </is>
      </c>
      <c r="B82" t="inlineStr">
        <is>
          <t>Service X</t>
        </is>
      </c>
      <c r="C82" t="n">
        <v>2024</v>
      </c>
      <c r="D82" t="inlineStr">
        <is>
          <t>Q3</t>
        </is>
      </c>
      <c r="E82" t="n">
        <v>2418.6</v>
      </c>
      <c r="F82" t="n">
        <v>1451.16</v>
      </c>
      <c r="G82" t="n">
        <v>189</v>
      </c>
    </row>
    <row r="83">
      <c r="A83" t="inlineStr">
        <is>
          <t>South</t>
        </is>
      </c>
      <c r="B83" t="inlineStr">
        <is>
          <t>Widget A</t>
        </is>
      </c>
      <c r="C83" t="n">
        <v>2025</v>
      </c>
      <c r="D83" t="inlineStr">
        <is>
          <t>Q4</t>
        </is>
      </c>
      <c r="E83" t="n">
        <v>2435.9</v>
      </c>
      <c r="F83" t="n">
        <v>1461.54</v>
      </c>
      <c r="G83" t="n">
        <v>191</v>
      </c>
    </row>
    <row r="84">
      <c r="A84" t="inlineStr">
        <is>
          <t>East</t>
        </is>
      </c>
      <c r="B84" t="inlineStr">
        <is>
          <t>Widget B</t>
        </is>
      </c>
      <c r="C84" t="n">
        <v>2023</v>
      </c>
      <c r="D84" t="inlineStr">
        <is>
          <t>Q1</t>
        </is>
      </c>
      <c r="E84" t="n">
        <v>2453.2</v>
      </c>
      <c r="F84" t="n">
        <v>1471.92</v>
      </c>
      <c r="G84" t="n">
        <v>192</v>
      </c>
    </row>
    <row r="85">
      <c r="A85" t="inlineStr">
        <is>
          <t>West</t>
        </is>
      </c>
      <c r="B85" t="inlineStr">
        <is>
          <t>Service X</t>
        </is>
      </c>
      <c r="C85" t="n">
        <v>2024</v>
      </c>
      <c r="D85" t="inlineStr">
        <is>
          <t>Q2</t>
        </is>
      </c>
      <c r="E85" t="n">
        <v>2470.5</v>
      </c>
      <c r="F85" t="n">
        <v>1482.3</v>
      </c>
      <c r="G85" t="n">
        <v>194</v>
      </c>
    </row>
    <row r="86">
      <c r="A86" t="inlineStr">
        <is>
          <t>North</t>
        </is>
      </c>
      <c r="B86" t="inlineStr">
        <is>
          <t>Widget A</t>
        </is>
      </c>
      <c r="C86" t="n">
        <v>2025</v>
      </c>
      <c r="D86" t="inlineStr">
        <is>
          <t>Q3</t>
        </is>
      </c>
      <c r="E86" t="n">
        <v>2487.8</v>
      </c>
      <c r="F86" t="n">
        <v>1492.68</v>
      </c>
      <c r="G86" t="n">
        <v>196</v>
      </c>
    </row>
    <row r="87">
      <c r="A87" t="inlineStr">
        <is>
          <t>South</t>
        </is>
      </c>
      <c r="B87" t="inlineStr">
        <is>
          <t>Widget B</t>
        </is>
      </c>
      <c r="C87" t="n">
        <v>2023</v>
      </c>
      <c r="D87" t="inlineStr">
        <is>
          <t>Q4</t>
        </is>
      </c>
      <c r="E87" t="n">
        <v>2505.1</v>
      </c>
      <c r="F87" t="n">
        <v>1503.06</v>
      </c>
      <c r="G87" t="n">
        <v>197</v>
      </c>
    </row>
    <row r="88">
      <c r="A88" t="inlineStr">
        <is>
          <t>East</t>
        </is>
      </c>
      <c r="B88" t="inlineStr">
        <is>
          <t>Service X</t>
        </is>
      </c>
      <c r="C88" t="n">
        <v>2024</v>
      </c>
      <c r="D88" t="inlineStr">
        <is>
          <t>Q1</t>
        </is>
      </c>
      <c r="E88" t="n">
        <v>2522.4</v>
      </c>
      <c r="F88" t="n">
        <v>1513.44</v>
      </c>
      <c r="G88" t="n">
        <v>199</v>
      </c>
    </row>
    <row r="89">
      <c r="A89" t="inlineStr">
        <is>
          <t>West</t>
        </is>
      </c>
      <c r="B89" t="inlineStr">
        <is>
          <t>Widget A</t>
        </is>
      </c>
      <c r="C89" t="n">
        <v>2025</v>
      </c>
      <c r="D89" t="inlineStr">
        <is>
          <t>Q2</t>
        </is>
      </c>
      <c r="E89" t="n">
        <v>2539.7</v>
      </c>
      <c r="F89" t="n">
        <v>1523.82</v>
      </c>
      <c r="G89" t="n">
        <v>201</v>
      </c>
    </row>
    <row r="90">
      <c r="A90" t="inlineStr">
        <is>
          <t>North</t>
        </is>
      </c>
      <c r="B90" t="inlineStr">
        <is>
          <t>Widget B</t>
        </is>
      </c>
      <c r="C90" t="n">
        <v>2023</v>
      </c>
      <c r="D90" t="inlineStr">
        <is>
          <t>Q3</t>
        </is>
      </c>
      <c r="E90" t="n">
        <v>2557</v>
      </c>
      <c r="F90" t="n">
        <v>1534.2</v>
      </c>
      <c r="G90" t="n">
        <v>203</v>
      </c>
    </row>
    <row r="91">
      <c r="A91" t="inlineStr">
        <is>
          <t>South</t>
        </is>
      </c>
      <c r="B91" t="inlineStr">
        <is>
          <t>Service X</t>
        </is>
      </c>
      <c r="C91" t="n">
        <v>2024</v>
      </c>
      <c r="D91" t="inlineStr">
        <is>
          <t>Q4</t>
        </is>
      </c>
      <c r="E91" t="n">
        <v>2574.3</v>
      </c>
      <c r="F91" t="n">
        <v>1544.58</v>
      </c>
      <c r="G91" t="n">
        <v>204</v>
      </c>
    </row>
    <row r="92">
      <c r="A92" t="inlineStr">
        <is>
          <t>East</t>
        </is>
      </c>
      <c r="B92" t="inlineStr">
        <is>
          <t>Widget A</t>
        </is>
      </c>
      <c r="C92" t="n">
        <v>2025</v>
      </c>
      <c r="D92" t="inlineStr">
        <is>
          <t>Q1</t>
        </is>
      </c>
      <c r="E92" t="n">
        <v>2591.6</v>
      </c>
      <c r="F92" t="n">
        <v>1554.96</v>
      </c>
      <c r="G92" t="n">
        <v>206</v>
      </c>
    </row>
    <row r="93">
      <c r="A93" t="inlineStr">
        <is>
          <t>West</t>
        </is>
      </c>
      <c r="B93" t="inlineStr">
        <is>
          <t>Widget B</t>
        </is>
      </c>
      <c r="C93" t="n">
        <v>2023</v>
      </c>
      <c r="D93" t="inlineStr">
        <is>
          <t>Q2</t>
        </is>
      </c>
      <c r="E93" t="n">
        <v>2608.9</v>
      </c>
      <c r="F93" t="n">
        <v>1565.34</v>
      </c>
      <c r="G93" t="n">
        <v>208</v>
      </c>
    </row>
    <row r="94">
      <c r="A94" t="inlineStr">
        <is>
          <t>North</t>
        </is>
      </c>
      <c r="B94" t="inlineStr">
        <is>
          <t>Service X</t>
        </is>
      </c>
      <c r="C94" t="n">
        <v>2024</v>
      </c>
      <c r="D94" t="inlineStr">
        <is>
          <t>Q3</t>
        </is>
      </c>
      <c r="E94" t="n">
        <v>2626.2</v>
      </c>
      <c r="F94" t="n">
        <v>1575.72</v>
      </c>
      <c r="G94" t="n">
        <v>209</v>
      </c>
    </row>
    <row r="95">
      <c r="A95" t="inlineStr">
        <is>
          <t>South</t>
        </is>
      </c>
      <c r="B95" t="inlineStr">
        <is>
          <t>Widget A</t>
        </is>
      </c>
      <c r="C95" t="n">
        <v>2025</v>
      </c>
      <c r="D95" t="inlineStr">
        <is>
          <t>Q4</t>
        </is>
      </c>
      <c r="E95" t="n">
        <v>2643.5</v>
      </c>
      <c r="F95" t="n">
        <v>1586.1</v>
      </c>
      <c r="G95" t="n">
        <v>211</v>
      </c>
    </row>
    <row r="96">
      <c r="A96" t="inlineStr">
        <is>
          <t>East</t>
        </is>
      </c>
      <c r="B96" t="inlineStr">
        <is>
          <t>Widget B</t>
        </is>
      </c>
      <c r="C96" t="n">
        <v>2023</v>
      </c>
      <c r="D96" t="inlineStr">
        <is>
          <t>Q1</t>
        </is>
      </c>
      <c r="E96" t="n">
        <v>2660.8</v>
      </c>
      <c r="F96" t="n">
        <v>1596.48</v>
      </c>
      <c r="G96" t="n">
        <v>213</v>
      </c>
    </row>
    <row r="97">
      <c r="A97" t="inlineStr">
        <is>
          <t>West</t>
        </is>
      </c>
      <c r="B97" t="inlineStr">
        <is>
          <t>Service X</t>
        </is>
      </c>
      <c r="C97" t="n">
        <v>2024</v>
      </c>
      <c r="D97" t="inlineStr">
        <is>
          <t>Q2</t>
        </is>
      </c>
      <c r="E97" t="n">
        <v>2678.1</v>
      </c>
      <c r="F97" t="n">
        <v>1606.86</v>
      </c>
      <c r="G97" t="n">
        <v>214</v>
      </c>
    </row>
    <row r="98">
      <c r="A98" t="inlineStr">
        <is>
          <t>North</t>
        </is>
      </c>
      <c r="B98" t="inlineStr">
        <is>
          <t>Widget A</t>
        </is>
      </c>
      <c r="C98" t="n">
        <v>2025</v>
      </c>
      <c r="D98" t="inlineStr">
        <is>
          <t>Q3</t>
        </is>
      </c>
      <c r="E98" t="n">
        <v>2695.4</v>
      </c>
      <c r="F98" t="n">
        <v>1617.24</v>
      </c>
      <c r="G98" t="n">
        <v>216</v>
      </c>
    </row>
    <row r="99">
      <c r="A99" t="inlineStr">
        <is>
          <t>South</t>
        </is>
      </c>
      <c r="B99" t="inlineStr">
        <is>
          <t>Widget B</t>
        </is>
      </c>
      <c r="C99" t="n">
        <v>2023</v>
      </c>
      <c r="D99" t="inlineStr">
        <is>
          <t>Q4</t>
        </is>
      </c>
      <c r="E99" t="n">
        <v>2712.7</v>
      </c>
      <c r="F99" t="n">
        <v>1627.62</v>
      </c>
      <c r="G99" t="n">
        <v>218</v>
      </c>
    </row>
    <row r="100">
      <c r="A100" t="inlineStr">
        <is>
          <t>East</t>
        </is>
      </c>
      <c r="B100" t="inlineStr">
        <is>
          <t>Service X</t>
        </is>
      </c>
      <c r="C100" t="n">
        <v>2024</v>
      </c>
      <c r="D100" t="inlineStr">
        <is>
          <t>Q1</t>
        </is>
      </c>
      <c r="E100" t="n">
        <v>2730</v>
      </c>
      <c r="F100" t="n">
        <v>1638</v>
      </c>
      <c r="G100" t="n">
        <v>220</v>
      </c>
    </row>
    <row r="101">
      <c r="A101" t="inlineStr">
        <is>
          <t>West</t>
        </is>
      </c>
      <c r="B101" t="inlineStr">
        <is>
          <t>Widget A</t>
        </is>
      </c>
      <c r="C101" t="n">
        <v>2025</v>
      </c>
      <c r="D101" t="inlineStr">
        <is>
          <t>Q2</t>
        </is>
      </c>
      <c r="E101" t="n">
        <v>2747.3</v>
      </c>
      <c r="F101" t="n">
        <v>1648.38</v>
      </c>
      <c r="G101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3">
      <c r="A3" t="inlineStr">
        <is>
          <t>Total Sales</t>
        </is>
      </c>
      <c r="B3">
        <f>SUM(RawData!E2:E101)</f>
        <v/>
      </c>
    </row>
    <row r="4">
      <c r="A4" t="inlineStr">
        <is>
          <t>Total Cost</t>
        </is>
      </c>
      <c r="B4">
        <f>SUM(RawData!F2:F101)</f>
        <v/>
      </c>
    </row>
    <row r="5">
      <c r="A5" t="inlineStr">
        <is>
          <t>Gross Margin</t>
        </is>
      </c>
      <c r="B5">
        <f>B3-B4</f>
        <v/>
      </c>
    </row>
    <row r="6">
      <c r="A6" t="inlineStr">
        <is>
          <t>Margin %</t>
        </is>
      </c>
      <c r="B6">
        <f>IF(B3=0,0,B5/B3)</f>
        <v/>
      </c>
    </row>
    <row r="8">
      <c r="A8" t="inlineStr">
        <is>
          <t>Regional Breakdown</t>
        </is>
      </c>
    </row>
    <row r="9">
      <c r="A9" t="inlineStr">
        <is>
          <t>North Total</t>
        </is>
      </c>
      <c r="B9">
        <f>SUMIF(RawData!A:A,"North",RawData!E:E)</f>
        <v/>
      </c>
    </row>
    <row r="10">
      <c r="A10" t="inlineStr">
        <is>
          <t>South Total</t>
        </is>
      </c>
      <c r="B10">
        <f>SUMIF(RawData!A:A,"South",RawData!E:E)</f>
        <v/>
      </c>
    </row>
    <row r="11">
      <c r="A11" t="inlineStr">
        <is>
          <t>East Total</t>
        </is>
      </c>
      <c r="B11">
        <f>SUMIF(RawData!A:A,"East",RawData!E:E)</f>
        <v/>
      </c>
    </row>
    <row r="12">
      <c r="A12" t="inlineStr">
        <is>
          <t>West Total</t>
        </is>
      </c>
      <c r="B12">
        <f>SUMIF(RawData!A:A,"West",RawData!E:E)</f>
        <v/>
      </c>
    </row>
    <row r="14">
      <c r="A14" t="inlineStr">
        <is>
          <t>Complex YoY Growth (multi-function + array style)</t>
        </is>
      </c>
      <c r="B14">
        <f>IFERROR(AVERAGE(IF(RawData!C:C=2025,RawData!E:E))/AVERAGE(IF(RawData!C:C=2024,RawData!E:E))-1,0)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Tables (simulated with formulas - real pivots use cache in xl/pivotCaches)</t>
        </is>
      </c>
    </row>
    <row r="3">
      <c r="A3" t="inlineStr">
        <is>
          <t>Sales by Region and Product</t>
        </is>
      </c>
    </row>
    <row r="4">
      <c r="A4" t="inlineStr">
        <is>
          <t>Region</t>
        </is>
      </c>
      <c r="B4" t="inlineStr">
        <is>
          <t>Widget A</t>
        </is>
      </c>
      <c r="C4" t="inlineStr">
        <is>
          <t>Widget B</t>
        </is>
      </c>
      <c r="D4" t="inlineStr">
        <is>
          <t>Service X</t>
        </is>
      </c>
      <c r="E4" t="inlineStr">
        <is>
          <t>Total</t>
        </is>
      </c>
    </row>
    <row r="5">
      <c r="A5" t="inlineStr">
        <is>
          <t>North</t>
        </is>
      </c>
      <c r="B5">
        <f>SUMIFS(RawData!E:E,RawData!A:A,A5,RawData!B:B,"Widget A")</f>
        <v/>
      </c>
      <c r="C5">
        <f>SUMIFS(RawData!E:E,RawData!A:A,A5,RawData!B:B,"Widget B")</f>
        <v/>
      </c>
      <c r="D5">
        <f>SUMIFS(RawData!E:E,RawData!A:A,A5,RawData!B:B,"Service X")</f>
        <v/>
      </c>
      <c r="E5">
        <f>SUM(B5:D5)</f>
        <v/>
      </c>
    </row>
    <row r="6">
      <c r="A6" t="inlineStr">
        <is>
          <t>South</t>
        </is>
      </c>
      <c r="B6">
        <f>SUMIFS(RawData!E:E,RawData!A:A,A6,RawData!B:B,"Widget A")</f>
        <v/>
      </c>
      <c r="C6">
        <f>SUMIFS(RawData!E:E,RawData!A:A,A6,RawData!B:B,"Widget B")</f>
        <v/>
      </c>
      <c r="D6">
        <f>SUMIFS(RawData!E:E,RawData!A:A,A6,RawData!B:B,"Service X")</f>
        <v/>
      </c>
      <c r="E6">
        <f>SUM(B6:D6)</f>
        <v/>
      </c>
    </row>
    <row r="7">
      <c r="A7" t="inlineStr">
        <is>
          <t>East</t>
        </is>
      </c>
      <c r="B7">
        <f>SUMIFS(RawData!E:E,RawData!A:A,A7,RawData!B:B,"Widget A")</f>
        <v/>
      </c>
      <c r="C7">
        <f>SUMIFS(RawData!E:E,RawData!A:A,A7,RawData!B:B,"Widget B")</f>
        <v/>
      </c>
      <c r="D7">
        <f>SUMIFS(RawData!E:E,RawData!A:A,A7,RawData!B:B,"Service X")</f>
        <v/>
      </c>
      <c r="E7">
        <f>SUM(B7:D7)</f>
        <v/>
      </c>
    </row>
    <row r="8">
      <c r="A8" t="inlineStr">
        <is>
          <t>West</t>
        </is>
      </c>
      <c r="B8">
        <f>SUMIFS(RawData!E:E,RawData!A:A,A8,RawData!B:B,"Widget A")</f>
        <v/>
      </c>
      <c r="C8">
        <f>SUMIFS(RawData!E:E,RawData!A:A,A8,RawData!B:B,"Widget B")</f>
        <v/>
      </c>
      <c r="D8">
        <f>SUMIFS(RawData!E:E,RawData!A:A,A8,RawData!B:B,"Service X")</f>
        <v/>
      </c>
      <c r="E8">
        <f>SUM(B8:D8)</f>
        <v/>
      </c>
    </row>
    <row r="10">
      <c r="A10" t="inlineStr">
        <is>
          <t>Grand Total</t>
        </is>
      </c>
      <c r="E10">
        <f>SUM(E5:E8)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area simulates VBA / macro logic (real .xlsm would have xl/vbaProject.bin)</t>
        </is>
      </c>
    </row>
    <row r="3">
      <c r="A3" t="inlineStr">
        <is>
          <t>AutoRefreshFlag</t>
        </is>
      </c>
      <c r="B3" t="n">
        <v>1</v>
      </c>
    </row>
    <row r="4">
      <c r="A4" t="inlineStr">
        <is>
          <t>LastRun</t>
        </is>
      </c>
      <c r="B4" t="inlineStr">
        <is>
          <t>2026-06-09</t>
        </is>
      </c>
    </row>
    <row r="6">
      <c r="A6" t="inlineStr">
        <is>
          <t>Note: ThisWorkbook.Workbook_Open would execute here in real macro-enabled file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InternalConfig</t>
        </is>
      </c>
      <c r="B1" t="inlineStr">
        <is>
          <t>v4.2-macro-pivots-enabled</t>
        </is>
      </c>
    </row>
    <row r="3">
      <c r="A3" t="inlineStr">
        <is>
          <t>PivotCacheRefresh</t>
        </is>
      </c>
      <c r="B3" t="inlineStr">
        <is>
          <t>Auto</t>
        </is>
      </c>
    </row>
    <row r="5">
      <c r="A5" t="inlineStr">
        <is>
          <t>MacroEnabled</t>
        </is>
      </c>
      <c r="B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2026-06-09T08:59:22Z</dcterms:created>
  <dcterms:modified xmlns:dcterms="http://purl.org/dc/terms/" xmlns:xsi="http://www.w3.org/2001/XMLSchema-instance" xsi:type="dcterms:W3CDTF">2026-06-09T08:59:22Z</dcterms:modified>
</cp:coreProperties>
</file>