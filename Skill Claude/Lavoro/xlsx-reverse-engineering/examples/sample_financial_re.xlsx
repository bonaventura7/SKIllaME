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Model" sheetId="1" state="visible" r:id="rId1"/>
    <sheet xmlns:r="http://schemas.openxmlformats.org/officeDocument/2006/relationships" name="DataSources" sheetId="2" state="visible" r:id="rId2"/>
    <sheet xmlns:r="http://schemas.openxmlformats.org/officeDocument/2006/relationships" name="ControlFlags" sheetId="3" state="veryHidden" r:id="rId3"/>
  </sheets>
  <definedNames>
    <definedName name="Growth">FinancialModel!$B$3</definedName>
    <definedName name="SecretVersion" hidden="1">ControlFlags!$B$1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2024</t>
        </is>
      </c>
      <c r="B1" t="n">
        <v>1250000</v>
      </c>
      <c r="F1" t="inlineStr">
        <is>
          <t>Complex Margin Calc (obfuscated)</t>
        </is>
      </c>
    </row>
    <row r="2">
      <c r="A2" t="inlineStr">
        <is>
          <t>COGS %</t>
        </is>
      </c>
      <c r="B2" t="n">
        <v>0.65</v>
      </c>
      <c r="F2">
        <f>IFERROR(INDEX({0.35,0.28,0.22},MATCH(SUMPRODUCT((B6:B10&gt;1000000)*1), {1,2,3},1)),0.2)</f>
        <v/>
      </c>
    </row>
    <row r="3">
      <c r="A3" t="inlineStr">
        <is>
          <t>Growth Rate</t>
        </is>
      </c>
      <c r="B3" t="n">
        <v>0.08</v>
      </c>
    </row>
    <row r="5">
      <c r="A5" t="inlineStr">
        <is>
          <t>Year</t>
        </is>
      </c>
      <c r="B5" t="inlineStr">
        <is>
          <t>Revenue</t>
        </is>
      </c>
      <c r="C5" t="inlineStr">
        <is>
          <t>COGS</t>
        </is>
      </c>
      <c r="D5" t="inlineStr">
        <is>
          <t>Gross Profit</t>
        </is>
      </c>
    </row>
    <row r="6">
      <c r="A6" t="n">
        <v>2025</v>
      </c>
      <c r="B6">
        <f>B1</f>
        <v/>
      </c>
      <c r="C6">
        <f>B6*$B$2</f>
        <v/>
      </c>
      <c r="D6">
        <f>B6-C6</f>
        <v/>
      </c>
    </row>
    <row r="7">
      <c r="A7" t="n">
        <v>2026</v>
      </c>
      <c r="B7">
        <f>B6*(1+$B$3)</f>
        <v/>
      </c>
      <c r="C7">
        <f>B7*$B$2</f>
        <v/>
      </c>
      <c r="D7">
        <f>B7-C7</f>
        <v/>
      </c>
    </row>
    <row r="8">
      <c r="A8" t="n">
        <v>2027</v>
      </c>
      <c r="B8">
        <f>B7*(1+$B$3)</f>
        <v/>
      </c>
      <c r="C8">
        <f>B8*$B$2</f>
        <v/>
      </c>
      <c r="D8">
        <f>B8-C8</f>
        <v/>
      </c>
    </row>
    <row r="9">
      <c r="A9" t="n">
        <v>2028</v>
      </c>
      <c r="B9">
        <f>B8*(1+$B$3)</f>
        <v/>
      </c>
      <c r="C9">
        <f>B9*$B$2</f>
        <v/>
      </c>
      <c r="D9">
        <f>B9-C9</f>
        <v/>
      </c>
    </row>
    <row r="10">
      <c r="A10" t="n">
        <v>2029</v>
      </c>
      <c r="B10">
        <f>B9*(1+$B$3)</f>
        <v/>
      </c>
      <c r="C10">
        <f>B10*$B$2</f>
        <v/>
      </c>
      <c r="D10">
        <f>B10-C10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Data</t>
        </is>
      </c>
    </row>
    <row r="2">
      <c r="A2">
        <f>[ExternalERP.xlsx]Data!A1:A100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v2.3-internal</t>
        </is>
      </c>
    </row>
    <row r="3">
      <c r="A3" t="inlineStr">
        <is>
          <t>DebugMode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2026-06-09T08:54:36Z</dcterms:created>
  <dcterms:modified xmlns:dcterms="http://purl.org/dc/terms/" xmlns:xsi="http://www.w3.org/2001/XMLSchema-instance" xsi:type="dcterms:W3CDTF">2026-06-09T08:54:36Z</dcterms:modified>
</cp:coreProperties>
</file>