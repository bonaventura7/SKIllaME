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HiddenConfig" sheetId="3" state="hidden" r:id="rId3"/>
    <sheet xmlns:r="http://schemas.openxmlformats.org/officeDocument/2006/relationships" name="_SecretLogic" sheetId="4" state="veryHidden" r:id="rId4"/>
    <sheet xmlns:r="http://schemas.openxmlformats.org/officeDocument/2006/relationships" name="MacroArea" sheetId="5" state="visible" r:id="rId5"/>
  </sheets>
  <definedNames>
    <definedName name="GrowthRate">Calculations!$B$4</definedName>
    <definedName name="SecretThreshold" hidden="1">_SecretLogic!$B$1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Risk Engine</author>
  </authors>
  <commentList>
    <comment ref="D13" authorId="0" shapeId="0">
      <text>
        <t>This formula has high opacity due to array-style SUMPRODUCT inside MATCH.</t>
      </text>
    </comment>
  </commentList>
</comments>
</file>

<file path=xl/comments/comment2.xml><?xml version="1.0" encoding="utf-8"?>
<comments xmlns="http://schemas.openxmlformats.org/spreadsheetml/2006/main">
  <authors>
    <author>Forensic Analyst</author>
  </authors>
  <commentList>
    <comment ref="A1" authorId="0" shapeId="0">
      <text>
        <t>Simulated: Workbook_Open would call AutoRefresh and external API if flag is set.</t>
      </text>
    </comment>
  </commentList>
</comments>
</file>

<file path=xl/tables/table1.xml><?xml version="1.0" encoding="utf-8"?>
<table xmlns="http://schemas.openxmlformats.org/spreadsheetml/2006/main" id="1" name="SalesTable" displayName="SalesTable" ref="A1:G151" headerRowCount="1">
  <autoFilter ref="A1:G151"/>
  <tableColumns count="7">
    <tableColumn id="1" name="Region"/>
    <tableColumn id="2" name="Product"/>
    <tableColumn id="3" name="Year"/>
    <tableColumn id="4" name="Quarter"/>
    <tableColumn id="5" name="Revenue"/>
    <tableColumn id="6" name="Cost"/>
    <tableColumn id="7" name="Uni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Quarter</t>
        </is>
      </c>
      <c r="E1" t="inlineStr">
        <is>
          <t>Revenue</t>
        </is>
      </c>
      <c r="F1" t="inlineStr">
        <is>
          <t>Cost</t>
        </is>
      </c>
      <c r="G1" t="inlineStr">
        <is>
          <t>Units</t>
        </is>
      </c>
    </row>
    <row r="2">
      <c r="A2" t="inlineStr">
        <is>
          <t>North</t>
        </is>
      </c>
      <c r="B2" t="inlineStr">
        <is>
          <t>Alpha</t>
        </is>
      </c>
      <c r="C2" t="n">
        <v>2024</v>
      </c>
      <c r="D2" t="inlineStr">
        <is>
          <t>Q1</t>
        </is>
      </c>
      <c r="E2" t="n">
        <v>56154.14</v>
      </c>
      <c r="F2" t="n">
        <v>31123.53</v>
      </c>
      <c r="G2" t="n">
        <v>683</v>
      </c>
    </row>
    <row r="3">
      <c r="A3" t="inlineStr">
        <is>
          <t>South</t>
        </is>
      </c>
      <c r="B3" t="inlineStr">
        <is>
          <t>Beta</t>
        </is>
      </c>
      <c r="C3" t="n">
        <v>2022</v>
      </c>
      <c r="D3" t="inlineStr">
        <is>
          <t>Q2</t>
        </is>
      </c>
      <c r="E3" t="n">
        <v>24591.35</v>
      </c>
      <c r="F3" t="n">
        <v>14108.58</v>
      </c>
      <c r="G3" t="n">
        <v>329</v>
      </c>
    </row>
    <row r="4">
      <c r="A4" t="inlineStr">
        <is>
          <t>East</t>
        </is>
      </c>
      <c r="B4" t="inlineStr">
        <is>
          <t>Gamma</t>
        </is>
      </c>
      <c r="C4" t="n">
        <v>2023</v>
      </c>
      <c r="D4" t="inlineStr">
        <is>
          <t>Q3</t>
        </is>
      </c>
      <c r="E4" t="n">
        <v>59135.96</v>
      </c>
      <c r="F4" t="n">
        <v>41493.96</v>
      </c>
      <c r="G4" t="n">
        <v>298</v>
      </c>
    </row>
    <row r="5">
      <c r="A5" t="inlineStr">
        <is>
          <t>West</t>
        </is>
      </c>
      <c r="B5" t="inlineStr">
        <is>
          <t>Alpha</t>
        </is>
      </c>
      <c r="C5" t="n">
        <v>2024</v>
      </c>
      <c r="D5" t="inlineStr">
        <is>
          <t>Q4</t>
        </is>
      </c>
      <c r="E5" t="n">
        <v>52239.4</v>
      </c>
      <c r="F5" t="n">
        <v>29013.92</v>
      </c>
      <c r="G5" t="n">
        <v>311</v>
      </c>
    </row>
    <row r="6">
      <c r="A6" t="inlineStr">
        <is>
          <t>North</t>
        </is>
      </c>
      <c r="B6" t="inlineStr">
        <is>
          <t>Beta</t>
        </is>
      </c>
      <c r="C6" t="n">
        <v>2022</v>
      </c>
      <c r="D6" t="inlineStr">
        <is>
          <t>Q1</t>
        </is>
      </c>
      <c r="E6" t="n">
        <v>22491.04</v>
      </c>
      <c r="F6" t="n">
        <v>14302.29</v>
      </c>
      <c r="G6" t="n">
        <v>174</v>
      </c>
    </row>
    <row r="7">
      <c r="A7" t="inlineStr">
        <is>
          <t>South</t>
        </is>
      </c>
      <c r="B7" t="inlineStr">
        <is>
          <t>Gamma</t>
        </is>
      </c>
      <c r="C7" t="n">
        <v>2023</v>
      </c>
      <c r="D7" t="inlineStr">
        <is>
          <t>Q2</t>
        </is>
      </c>
      <c r="E7" t="n">
        <v>49899.61</v>
      </c>
      <c r="F7" t="n">
        <v>33518.73</v>
      </c>
      <c r="G7" t="n">
        <v>1236</v>
      </c>
    </row>
    <row r="8">
      <c r="A8" t="inlineStr">
        <is>
          <t>East</t>
        </is>
      </c>
      <c r="B8" t="inlineStr">
        <is>
          <t>Alpha</t>
        </is>
      </c>
      <c r="C8" t="n">
        <v>2024</v>
      </c>
      <c r="D8" t="inlineStr">
        <is>
          <t>Q3</t>
        </is>
      </c>
      <c r="E8" t="n">
        <v>38561.59</v>
      </c>
      <c r="F8" t="n">
        <v>24153.65</v>
      </c>
      <c r="G8" t="n">
        <v>689</v>
      </c>
    </row>
    <row r="9">
      <c r="A9" t="inlineStr">
        <is>
          <t>West</t>
        </is>
      </c>
      <c r="B9" t="inlineStr">
        <is>
          <t>Beta</t>
        </is>
      </c>
      <c r="C9" t="n">
        <v>2022</v>
      </c>
      <c r="D9" t="inlineStr">
        <is>
          <t>Q4</t>
        </is>
      </c>
      <c r="E9" t="n">
        <v>69754.44</v>
      </c>
      <c r="F9" t="n">
        <v>38442.01</v>
      </c>
      <c r="G9" t="n">
        <v>446</v>
      </c>
    </row>
    <row r="10">
      <c r="A10" t="inlineStr">
        <is>
          <t>North</t>
        </is>
      </c>
      <c r="B10" t="inlineStr">
        <is>
          <t>Gamma</t>
        </is>
      </c>
      <c r="C10" t="n">
        <v>2023</v>
      </c>
      <c r="D10" t="inlineStr">
        <is>
          <t>Q1</t>
        </is>
      </c>
      <c r="E10" t="n">
        <v>60851.15</v>
      </c>
      <c r="F10" t="n">
        <v>36987.92</v>
      </c>
      <c r="G10" t="n">
        <v>438</v>
      </c>
    </row>
    <row r="11">
      <c r="A11" t="inlineStr">
        <is>
          <t>South</t>
        </is>
      </c>
      <c r="B11" t="inlineStr">
        <is>
          <t>Alpha</t>
        </is>
      </c>
      <c r="C11" t="n">
        <v>2024</v>
      </c>
      <c r="D11" t="inlineStr">
        <is>
          <t>Q2</t>
        </is>
      </c>
      <c r="E11" t="n">
        <v>22225.1</v>
      </c>
      <c r="F11" t="n">
        <v>15108.49</v>
      </c>
      <c r="G11" t="n">
        <v>329</v>
      </c>
    </row>
    <row r="12">
      <c r="A12" t="inlineStr">
        <is>
          <t>East</t>
        </is>
      </c>
      <c r="B12" t="inlineStr">
        <is>
          <t>Beta</t>
        </is>
      </c>
      <c r="C12" t="n">
        <v>2022</v>
      </c>
      <c r="D12" t="inlineStr">
        <is>
          <t>Q3</t>
        </is>
      </c>
      <c r="E12" t="n">
        <v>12419.67</v>
      </c>
      <c r="F12" t="n">
        <v>7035.02</v>
      </c>
      <c r="G12" t="n">
        <v>824</v>
      </c>
    </row>
    <row r="13">
      <c r="A13" t="inlineStr">
        <is>
          <t>West</t>
        </is>
      </c>
      <c r="B13" t="inlineStr">
        <is>
          <t>Gamma</t>
        </is>
      </c>
      <c r="C13" t="n">
        <v>2023</v>
      </c>
      <c r="D13" t="inlineStr">
        <is>
          <t>Q4</t>
        </is>
      </c>
      <c r="E13" t="n">
        <v>53298.08</v>
      </c>
      <c r="F13" t="n">
        <v>36627.07</v>
      </c>
      <c r="G13" t="n">
        <v>1060</v>
      </c>
    </row>
    <row r="14">
      <c r="A14" t="inlineStr">
        <is>
          <t>North</t>
        </is>
      </c>
      <c r="B14" t="inlineStr">
        <is>
          <t>Alpha</t>
        </is>
      </c>
      <c r="C14" t="n">
        <v>2024</v>
      </c>
      <c r="D14" t="inlineStr">
        <is>
          <t>Q1</t>
        </is>
      </c>
      <c r="E14" t="n">
        <v>47898.25</v>
      </c>
      <c r="F14" t="n">
        <v>34267.83</v>
      </c>
      <c r="G14" t="n">
        <v>895</v>
      </c>
    </row>
    <row r="15">
      <c r="A15" t="inlineStr">
        <is>
          <t>South</t>
        </is>
      </c>
      <c r="B15" t="inlineStr">
        <is>
          <t>Beta</t>
        </is>
      </c>
      <c r="C15" t="n">
        <v>2022</v>
      </c>
      <c r="D15" t="inlineStr">
        <is>
          <t>Q2</t>
        </is>
      </c>
      <c r="E15" t="n">
        <v>11304.02</v>
      </c>
      <c r="F15" t="n">
        <v>6780.61</v>
      </c>
      <c r="G15" t="n">
        <v>1407</v>
      </c>
    </row>
    <row r="16">
      <c r="A16" t="inlineStr">
        <is>
          <t>East</t>
        </is>
      </c>
      <c r="B16" t="inlineStr">
        <is>
          <t>Gamma</t>
        </is>
      </c>
      <c r="C16" t="n">
        <v>2023</v>
      </c>
      <c r="D16" t="inlineStr">
        <is>
          <t>Q3</t>
        </is>
      </c>
      <c r="E16" t="n">
        <v>54481.58</v>
      </c>
      <c r="F16" t="n">
        <v>37945.89</v>
      </c>
      <c r="G16" t="n">
        <v>1302</v>
      </c>
    </row>
    <row r="17">
      <c r="A17" t="inlineStr">
        <is>
          <t>West</t>
        </is>
      </c>
      <c r="B17" t="inlineStr">
        <is>
          <t>Alpha</t>
        </is>
      </c>
      <c r="C17" t="n">
        <v>2024</v>
      </c>
      <c r="D17" t="inlineStr">
        <is>
          <t>Q4</t>
        </is>
      </c>
      <c r="E17" t="n">
        <v>20383.09</v>
      </c>
      <c r="F17" t="n">
        <v>11451.72</v>
      </c>
      <c r="G17" t="n">
        <v>586</v>
      </c>
    </row>
    <row r="18">
      <c r="A18" t="inlineStr">
        <is>
          <t>North</t>
        </is>
      </c>
      <c r="B18" t="inlineStr">
        <is>
          <t>Beta</t>
        </is>
      </c>
      <c r="C18" t="n">
        <v>2022</v>
      </c>
      <c r="D18" t="inlineStr">
        <is>
          <t>Q1</t>
        </is>
      </c>
      <c r="E18" t="n">
        <v>66845.47</v>
      </c>
      <c r="F18" t="n">
        <v>47960.8</v>
      </c>
      <c r="G18" t="n">
        <v>596</v>
      </c>
    </row>
    <row r="19">
      <c r="A19" t="inlineStr">
        <is>
          <t>South</t>
        </is>
      </c>
      <c r="B19" t="inlineStr">
        <is>
          <t>Gamma</t>
        </is>
      </c>
      <c r="C19" t="n">
        <v>2023</v>
      </c>
      <c r="D19" t="inlineStr">
        <is>
          <t>Q2</t>
        </is>
      </c>
      <c r="E19" t="n">
        <v>74318.69</v>
      </c>
      <c r="F19" t="n">
        <v>45677.86</v>
      </c>
      <c r="G19" t="n">
        <v>1048</v>
      </c>
    </row>
    <row r="20">
      <c r="A20" t="inlineStr">
        <is>
          <t>East</t>
        </is>
      </c>
      <c r="B20" t="inlineStr">
        <is>
          <t>Alpha</t>
        </is>
      </c>
      <c r="C20" t="n">
        <v>2024</v>
      </c>
      <c r="D20" t="inlineStr">
        <is>
          <t>Q3</t>
        </is>
      </c>
      <c r="E20" t="n">
        <v>55854.76</v>
      </c>
      <c r="F20" t="n">
        <v>34184.31</v>
      </c>
      <c r="G20" t="n">
        <v>878</v>
      </c>
    </row>
    <row r="21">
      <c r="A21" t="inlineStr">
        <is>
          <t>West</t>
        </is>
      </c>
      <c r="B21" t="inlineStr">
        <is>
          <t>Beta</t>
        </is>
      </c>
      <c r="C21" t="n">
        <v>2022</v>
      </c>
      <c r="D21" t="inlineStr">
        <is>
          <t>Q4</t>
        </is>
      </c>
      <c r="E21" t="n">
        <v>33421.66</v>
      </c>
      <c r="F21" t="n">
        <v>22189.64</v>
      </c>
      <c r="G21" t="n">
        <v>1447</v>
      </c>
    </row>
    <row r="22">
      <c r="A22" t="inlineStr">
        <is>
          <t>North</t>
        </is>
      </c>
      <c r="B22" t="inlineStr">
        <is>
          <t>Gamma</t>
        </is>
      </c>
      <c r="C22" t="n">
        <v>2023</v>
      </c>
      <c r="D22" t="inlineStr">
        <is>
          <t>Q1</t>
        </is>
      </c>
      <c r="E22" t="n">
        <v>10712.2</v>
      </c>
      <c r="F22" t="n">
        <v>7048.05</v>
      </c>
      <c r="G22" t="n">
        <v>1213</v>
      </c>
    </row>
    <row r="23">
      <c r="A23" t="inlineStr">
        <is>
          <t>South</t>
        </is>
      </c>
      <c r="B23" t="inlineStr">
        <is>
          <t>Alpha</t>
        </is>
      </c>
      <c r="C23" t="n">
        <v>2024</v>
      </c>
      <c r="D23" t="inlineStr">
        <is>
          <t>Q2</t>
        </is>
      </c>
      <c r="E23" t="n">
        <v>63330.14</v>
      </c>
      <c r="F23" t="n">
        <v>36590.79</v>
      </c>
      <c r="G23" t="n">
        <v>897</v>
      </c>
    </row>
    <row r="24">
      <c r="A24" t="inlineStr">
        <is>
          <t>East</t>
        </is>
      </c>
      <c r="B24" t="inlineStr">
        <is>
          <t>Beta</t>
        </is>
      </c>
      <c r="C24" t="n">
        <v>2022</v>
      </c>
      <c r="D24" t="inlineStr">
        <is>
          <t>Q3</t>
        </is>
      </c>
      <c r="E24" t="n">
        <v>26595.83</v>
      </c>
      <c r="F24" t="n">
        <v>18811.67</v>
      </c>
      <c r="G24" t="n">
        <v>1260</v>
      </c>
    </row>
    <row r="25">
      <c r="A25" t="inlineStr">
        <is>
          <t>West</t>
        </is>
      </c>
      <c r="B25" t="inlineStr">
        <is>
          <t>Gamma</t>
        </is>
      </c>
      <c r="C25" t="n">
        <v>2023</v>
      </c>
      <c r="D25" t="inlineStr">
        <is>
          <t>Q4</t>
        </is>
      </c>
      <c r="E25" t="n">
        <v>22569.21</v>
      </c>
      <c r="F25" t="n">
        <v>13657.26</v>
      </c>
      <c r="G25" t="n">
        <v>234</v>
      </c>
    </row>
    <row r="26">
      <c r="A26" t="inlineStr">
        <is>
          <t>North</t>
        </is>
      </c>
      <c r="B26" t="inlineStr">
        <is>
          <t>Alpha</t>
        </is>
      </c>
      <c r="C26" t="n">
        <v>2024</v>
      </c>
      <c r="D26" t="inlineStr">
        <is>
          <t>Q1</t>
        </is>
      </c>
      <c r="E26" t="n">
        <v>23323.85</v>
      </c>
      <c r="F26" t="n">
        <v>12955.4</v>
      </c>
      <c r="G26" t="n">
        <v>766</v>
      </c>
    </row>
    <row r="27">
      <c r="A27" t="inlineStr">
        <is>
          <t>South</t>
        </is>
      </c>
      <c r="B27" t="inlineStr">
        <is>
          <t>Beta</t>
        </is>
      </c>
      <c r="C27" t="n">
        <v>2022</v>
      </c>
      <c r="D27" t="inlineStr">
        <is>
          <t>Q2</t>
        </is>
      </c>
      <c r="E27" t="n">
        <v>37093.18</v>
      </c>
      <c r="F27" t="n">
        <v>20818.62</v>
      </c>
      <c r="G27" t="n">
        <v>1281</v>
      </c>
    </row>
    <row r="28">
      <c r="A28" t="inlineStr">
        <is>
          <t>East</t>
        </is>
      </c>
      <c r="B28" t="inlineStr">
        <is>
          <t>Gamma</t>
        </is>
      </c>
      <c r="C28" t="n">
        <v>2023</v>
      </c>
      <c r="D28" t="inlineStr">
        <is>
          <t>Q3</t>
        </is>
      </c>
      <c r="E28" t="n">
        <v>75109.41</v>
      </c>
      <c r="F28" t="n">
        <v>45328.17</v>
      </c>
      <c r="G28" t="n">
        <v>1142</v>
      </c>
    </row>
    <row r="29">
      <c r="A29" t="inlineStr">
        <is>
          <t>West</t>
        </is>
      </c>
      <c r="B29" t="inlineStr">
        <is>
          <t>Alpha</t>
        </is>
      </c>
      <c r="C29" t="n">
        <v>2024</v>
      </c>
      <c r="D29" t="inlineStr">
        <is>
          <t>Q4</t>
        </is>
      </c>
      <c r="E29" t="n">
        <v>36650.55</v>
      </c>
      <c r="F29" t="n">
        <v>25855.98</v>
      </c>
      <c r="G29" t="n">
        <v>1059</v>
      </c>
    </row>
    <row r="30">
      <c r="A30" t="inlineStr">
        <is>
          <t>North</t>
        </is>
      </c>
      <c r="B30" t="inlineStr">
        <is>
          <t>Beta</t>
        </is>
      </c>
      <c r="C30" t="n">
        <v>2022</v>
      </c>
      <c r="D30" t="inlineStr">
        <is>
          <t>Q1</t>
        </is>
      </c>
      <c r="E30" t="n">
        <v>16429.73</v>
      </c>
      <c r="F30" t="n">
        <v>9426.35</v>
      </c>
      <c r="G30" t="n">
        <v>1269</v>
      </c>
    </row>
    <row r="31">
      <c r="A31" t="inlineStr">
        <is>
          <t>South</t>
        </is>
      </c>
      <c r="B31" t="inlineStr">
        <is>
          <t>Gamma</t>
        </is>
      </c>
      <c r="C31" t="n">
        <v>2023</v>
      </c>
      <c r="D31" t="inlineStr">
        <is>
          <t>Q2</t>
        </is>
      </c>
      <c r="E31" t="n">
        <v>48118.18</v>
      </c>
      <c r="F31" t="n">
        <v>32575.64</v>
      </c>
      <c r="G31" t="n">
        <v>997</v>
      </c>
    </row>
    <row r="32">
      <c r="A32" t="inlineStr">
        <is>
          <t>East</t>
        </is>
      </c>
      <c r="B32" t="inlineStr">
        <is>
          <t>Alpha</t>
        </is>
      </c>
      <c r="C32" t="n">
        <v>2024</v>
      </c>
      <c r="D32" t="inlineStr">
        <is>
          <t>Q3</t>
        </is>
      </c>
      <c r="E32" t="n">
        <v>76825.83</v>
      </c>
      <c r="F32" t="n">
        <v>47470.53</v>
      </c>
      <c r="G32" t="n">
        <v>569</v>
      </c>
    </row>
    <row r="33">
      <c r="A33" t="inlineStr">
        <is>
          <t>West</t>
        </is>
      </c>
      <c r="B33" t="inlineStr">
        <is>
          <t>Beta</t>
        </is>
      </c>
      <c r="C33" t="n">
        <v>2022</v>
      </c>
      <c r="D33" t="inlineStr">
        <is>
          <t>Q4</t>
        </is>
      </c>
      <c r="E33" t="n">
        <v>84786.06</v>
      </c>
      <c r="F33" t="n">
        <v>48626.2</v>
      </c>
      <c r="G33" t="n">
        <v>1130</v>
      </c>
    </row>
    <row r="34">
      <c r="A34" t="inlineStr">
        <is>
          <t>North</t>
        </is>
      </c>
      <c r="B34" t="inlineStr">
        <is>
          <t>Gamma</t>
        </is>
      </c>
      <c r="C34" t="n">
        <v>2023</v>
      </c>
      <c r="D34" t="inlineStr">
        <is>
          <t>Q1</t>
        </is>
      </c>
      <c r="E34" t="n">
        <v>12272.75</v>
      </c>
      <c r="F34" t="n">
        <v>6848.31</v>
      </c>
      <c r="G34" t="n">
        <v>344</v>
      </c>
    </row>
    <row r="35">
      <c r="A35" t="inlineStr">
        <is>
          <t>South</t>
        </is>
      </c>
      <c r="B35" t="inlineStr">
        <is>
          <t>Alpha</t>
        </is>
      </c>
      <c r="C35" t="n">
        <v>2024</v>
      </c>
      <c r="D35" t="inlineStr">
        <is>
          <t>Q2</t>
        </is>
      </c>
      <c r="E35" t="n">
        <v>17227.31</v>
      </c>
      <c r="F35" t="n">
        <v>9943.549999999999</v>
      </c>
      <c r="G35" t="n">
        <v>984</v>
      </c>
    </row>
    <row r="36">
      <c r="A36" t="inlineStr">
        <is>
          <t>East</t>
        </is>
      </c>
      <c r="B36" t="inlineStr">
        <is>
          <t>Beta</t>
        </is>
      </c>
      <c r="C36" t="n">
        <v>2022</v>
      </c>
      <c r="D36" t="inlineStr">
        <is>
          <t>Q3</t>
        </is>
      </c>
      <c r="E36" t="n">
        <v>52712.72</v>
      </c>
      <c r="F36" t="n">
        <v>32439.96</v>
      </c>
      <c r="G36" t="n">
        <v>1340</v>
      </c>
    </row>
    <row r="37">
      <c r="A37" t="inlineStr">
        <is>
          <t>West</t>
        </is>
      </c>
      <c r="B37" t="inlineStr">
        <is>
          <t>Gamma</t>
        </is>
      </c>
      <c r="C37" t="n">
        <v>2023</v>
      </c>
      <c r="D37" t="inlineStr">
        <is>
          <t>Q4</t>
        </is>
      </c>
      <c r="E37" t="n">
        <v>84689.71000000001</v>
      </c>
      <c r="F37" t="n">
        <v>54197.13</v>
      </c>
      <c r="G37" t="n">
        <v>1253</v>
      </c>
    </row>
    <row r="38">
      <c r="A38" t="inlineStr">
        <is>
          <t>North</t>
        </is>
      </c>
      <c r="B38" t="inlineStr">
        <is>
          <t>Alpha</t>
        </is>
      </c>
      <c r="C38" t="n">
        <v>2024</v>
      </c>
      <c r="D38" t="inlineStr">
        <is>
          <t>Q1</t>
        </is>
      </c>
      <c r="E38" t="n">
        <v>73862.38</v>
      </c>
      <c r="F38" t="n">
        <v>40768.47</v>
      </c>
      <c r="G38" t="n">
        <v>354</v>
      </c>
    </row>
    <row r="39">
      <c r="A39" t="inlineStr">
        <is>
          <t>South</t>
        </is>
      </c>
      <c r="B39" t="inlineStr">
        <is>
          <t>Beta</t>
        </is>
      </c>
      <c r="C39" t="n">
        <v>2022</v>
      </c>
      <c r="D39" t="inlineStr">
        <is>
          <t>Q2</t>
        </is>
      </c>
      <c r="E39" t="n">
        <v>59536.83</v>
      </c>
      <c r="F39" t="n">
        <v>38180.07</v>
      </c>
      <c r="G39" t="n">
        <v>666</v>
      </c>
    </row>
    <row r="40">
      <c r="A40" t="inlineStr">
        <is>
          <t>East</t>
        </is>
      </c>
      <c r="B40" t="inlineStr">
        <is>
          <t>Gamma</t>
        </is>
      </c>
      <c r="C40" t="n">
        <v>2023</v>
      </c>
      <c r="D40" t="inlineStr">
        <is>
          <t>Q3</t>
        </is>
      </c>
      <c r="E40" t="n">
        <v>66487.89999999999</v>
      </c>
      <c r="F40" t="n">
        <v>40413.33</v>
      </c>
      <c r="G40" t="n">
        <v>721</v>
      </c>
    </row>
    <row r="41">
      <c r="A41" t="inlineStr">
        <is>
          <t>West</t>
        </is>
      </c>
      <c r="B41" t="inlineStr">
        <is>
          <t>Alpha</t>
        </is>
      </c>
      <c r="C41" t="n">
        <v>2024</v>
      </c>
      <c r="D41" t="inlineStr">
        <is>
          <t>Q4</t>
        </is>
      </c>
      <c r="E41" t="n">
        <v>39781.22</v>
      </c>
      <c r="F41" t="n">
        <v>24948.12</v>
      </c>
      <c r="G41" t="n">
        <v>659</v>
      </c>
    </row>
    <row r="42">
      <c r="A42" t="inlineStr">
        <is>
          <t>North</t>
        </is>
      </c>
      <c r="B42" t="inlineStr">
        <is>
          <t>Beta</t>
        </is>
      </c>
      <c r="C42" t="n">
        <v>2022</v>
      </c>
      <c r="D42" t="inlineStr">
        <is>
          <t>Q1</t>
        </is>
      </c>
      <c r="E42" t="n">
        <v>82751.05</v>
      </c>
      <c r="F42" t="n">
        <v>56232.12</v>
      </c>
      <c r="G42" t="n">
        <v>1159</v>
      </c>
    </row>
    <row r="43">
      <c r="A43" t="inlineStr">
        <is>
          <t>South</t>
        </is>
      </c>
      <c r="B43" t="inlineStr">
        <is>
          <t>Gamma</t>
        </is>
      </c>
      <c r="C43" t="n">
        <v>2023</v>
      </c>
      <c r="D43" t="inlineStr">
        <is>
          <t>Q2</t>
        </is>
      </c>
      <c r="E43" t="n">
        <v>78010.23</v>
      </c>
      <c r="F43" t="n">
        <v>54450.22</v>
      </c>
      <c r="G43" t="n">
        <v>731</v>
      </c>
    </row>
    <row r="44">
      <c r="A44" t="inlineStr">
        <is>
          <t>East</t>
        </is>
      </c>
      <c r="B44" t="inlineStr">
        <is>
          <t>Alpha</t>
        </is>
      </c>
      <c r="C44" t="n">
        <v>2024</v>
      </c>
      <c r="D44" t="inlineStr">
        <is>
          <t>Q3</t>
        </is>
      </c>
      <c r="E44" t="n">
        <v>72333.55</v>
      </c>
      <c r="F44" t="n">
        <v>46026.03</v>
      </c>
      <c r="G44" t="n">
        <v>527</v>
      </c>
    </row>
    <row r="45">
      <c r="A45" t="inlineStr">
        <is>
          <t>West</t>
        </is>
      </c>
      <c r="B45" t="inlineStr">
        <is>
          <t>Beta</t>
        </is>
      </c>
      <c r="C45" t="n">
        <v>2022</v>
      </c>
      <c r="D45" t="inlineStr">
        <is>
          <t>Q4</t>
        </is>
      </c>
      <c r="E45" t="n">
        <v>17227.14</v>
      </c>
      <c r="F45" t="n">
        <v>11708.03</v>
      </c>
      <c r="G45" t="n">
        <v>1224</v>
      </c>
    </row>
    <row r="46">
      <c r="A46" t="inlineStr">
        <is>
          <t>North</t>
        </is>
      </c>
      <c r="B46" t="inlineStr">
        <is>
          <t>Gamma</t>
        </is>
      </c>
      <c r="C46" t="n">
        <v>2023</v>
      </c>
      <c r="D46" t="inlineStr">
        <is>
          <t>Q1</t>
        </is>
      </c>
      <c r="E46" t="n">
        <v>81279.98</v>
      </c>
      <c r="F46" t="n">
        <v>57449.81</v>
      </c>
      <c r="G46" t="n">
        <v>121</v>
      </c>
    </row>
    <row r="47">
      <c r="A47" t="inlineStr">
        <is>
          <t>South</t>
        </is>
      </c>
      <c r="B47" t="inlineStr">
        <is>
          <t>Alpha</t>
        </is>
      </c>
      <c r="C47" t="n">
        <v>2024</v>
      </c>
      <c r="D47" t="inlineStr">
        <is>
          <t>Q2</t>
        </is>
      </c>
      <c r="E47" t="n">
        <v>52915.57</v>
      </c>
      <c r="F47" t="n">
        <v>33498.89</v>
      </c>
      <c r="G47" t="n">
        <v>349</v>
      </c>
    </row>
    <row r="48">
      <c r="A48" t="inlineStr">
        <is>
          <t>East</t>
        </is>
      </c>
      <c r="B48" t="inlineStr">
        <is>
          <t>Beta</t>
        </is>
      </c>
      <c r="C48" t="n">
        <v>2022</v>
      </c>
      <c r="D48" t="inlineStr">
        <is>
          <t>Q3</t>
        </is>
      </c>
      <c r="E48" t="n">
        <v>79327.89</v>
      </c>
      <c r="F48" t="n">
        <v>55480.56</v>
      </c>
      <c r="G48" t="n">
        <v>749</v>
      </c>
    </row>
    <row r="49">
      <c r="A49" t="inlineStr">
        <is>
          <t>West</t>
        </is>
      </c>
      <c r="B49" t="inlineStr">
        <is>
          <t>Gamma</t>
        </is>
      </c>
      <c r="C49" t="n">
        <v>2023</v>
      </c>
      <c r="D49" t="inlineStr">
        <is>
          <t>Q4</t>
        </is>
      </c>
      <c r="E49" t="n">
        <v>24156.18</v>
      </c>
      <c r="F49" t="n">
        <v>14275.05</v>
      </c>
      <c r="G49" t="n">
        <v>1281</v>
      </c>
    </row>
    <row r="50">
      <c r="A50" t="inlineStr">
        <is>
          <t>North</t>
        </is>
      </c>
      <c r="B50" t="inlineStr">
        <is>
          <t>Alpha</t>
        </is>
      </c>
      <c r="C50" t="n">
        <v>2024</v>
      </c>
      <c r="D50" t="inlineStr">
        <is>
          <t>Q1</t>
        </is>
      </c>
      <c r="E50" t="n">
        <v>80755.96000000001</v>
      </c>
      <c r="F50" t="n">
        <v>45591.67</v>
      </c>
      <c r="G50" t="n">
        <v>1115</v>
      </c>
    </row>
    <row r="51">
      <c r="A51" t="inlineStr">
        <is>
          <t>South</t>
        </is>
      </c>
      <c r="B51" t="inlineStr">
        <is>
          <t>Beta</t>
        </is>
      </c>
      <c r="C51" t="n">
        <v>2022</v>
      </c>
      <c r="D51" t="inlineStr">
        <is>
          <t>Q2</t>
        </is>
      </c>
      <c r="E51" t="n">
        <v>70281.86</v>
      </c>
      <c r="F51" t="n">
        <v>50339.9</v>
      </c>
      <c r="G51" t="n">
        <v>1210</v>
      </c>
    </row>
    <row r="52">
      <c r="A52" t="inlineStr">
        <is>
          <t>East</t>
        </is>
      </c>
      <c r="B52" t="inlineStr">
        <is>
          <t>Gamma</t>
        </is>
      </c>
      <c r="C52" t="n">
        <v>2023</v>
      </c>
      <c r="D52" t="inlineStr">
        <is>
          <t>Q3</t>
        </is>
      </c>
      <c r="E52" t="n">
        <v>66266.75</v>
      </c>
      <c r="F52" t="n">
        <v>37893.09</v>
      </c>
      <c r="G52" t="n">
        <v>1093</v>
      </c>
    </row>
    <row r="53">
      <c r="A53" t="inlineStr">
        <is>
          <t>West</t>
        </is>
      </c>
      <c r="B53" t="inlineStr">
        <is>
          <t>Alpha</t>
        </is>
      </c>
      <c r="C53" t="n">
        <v>2024</v>
      </c>
      <c r="D53" t="inlineStr">
        <is>
          <t>Q4</t>
        </is>
      </c>
      <c r="E53" t="n">
        <v>80747.89</v>
      </c>
      <c r="F53" t="n">
        <v>46678.06</v>
      </c>
      <c r="G53" t="n">
        <v>1200</v>
      </c>
    </row>
    <row r="54">
      <c r="A54" t="inlineStr">
        <is>
          <t>North</t>
        </is>
      </c>
      <c r="B54" t="inlineStr">
        <is>
          <t>Beta</t>
        </is>
      </c>
      <c r="C54" t="n">
        <v>2022</v>
      </c>
      <c r="D54" t="inlineStr">
        <is>
          <t>Q1</t>
        </is>
      </c>
      <c r="E54" t="n">
        <v>74794.64</v>
      </c>
      <c r="F54" t="n">
        <v>46517.29</v>
      </c>
      <c r="G54" t="n">
        <v>553</v>
      </c>
    </row>
    <row r="55">
      <c r="A55" t="inlineStr">
        <is>
          <t>South</t>
        </is>
      </c>
      <c r="B55" t="inlineStr">
        <is>
          <t>Gamma</t>
        </is>
      </c>
      <c r="C55" t="n">
        <v>2023</v>
      </c>
      <c r="D55" t="inlineStr">
        <is>
          <t>Q2</t>
        </is>
      </c>
      <c r="E55" t="n">
        <v>79313.08</v>
      </c>
      <c r="F55" t="n">
        <v>53805.6</v>
      </c>
      <c r="G55" t="n">
        <v>531</v>
      </c>
    </row>
    <row r="56">
      <c r="A56" t="inlineStr">
        <is>
          <t>East</t>
        </is>
      </c>
      <c r="B56" t="inlineStr">
        <is>
          <t>Alpha</t>
        </is>
      </c>
      <c r="C56" t="n">
        <v>2024</v>
      </c>
      <c r="D56" t="inlineStr">
        <is>
          <t>Q3</t>
        </is>
      </c>
      <c r="E56" t="n">
        <v>62035.92</v>
      </c>
      <c r="F56" t="n">
        <v>38327.57</v>
      </c>
      <c r="G56" t="n">
        <v>1450</v>
      </c>
    </row>
    <row r="57">
      <c r="A57" t="inlineStr">
        <is>
          <t>West</t>
        </is>
      </c>
      <c r="B57" t="inlineStr">
        <is>
          <t>Beta</t>
        </is>
      </c>
      <c r="C57" t="n">
        <v>2022</v>
      </c>
      <c r="D57" t="inlineStr">
        <is>
          <t>Q4</t>
        </is>
      </c>
      <c r="E57" t="n">
        <v>34873.64</v>
      </c>
      <c r="F57" t="n">
        <v>24513.88</v>
      </c>
      <c r="G57" t="n">
        <v>1044</v>
      </c>
    </row>
    <row r="58">
      <c r="A58" t="inlineStr">
        <is>
          <t>North</t>
        </is>
      </c>
      <c r="B58" t="inlineStr">
        <is>
          <t>Gamma</t>
        </is>
      </c>
      <c r="C58" t="n">
        <v>2023</v>
      </c>
      <c r="D58" t="inlineStr">
        <is>
          <t>Q1</t>
        </is>
      </c>
      <c r="E58" t="n">
        <v>14680.34</v>
      </c>
      <c r="F58" t="n">
        <v>8634.950000000001</v>
      </c>
      <c r="G58" t="n">
        <v>812</v>
      </c>
    </row>
    <row r="59">
      <c r="A59" t="inlineStr">
        <is>
          <t>South</t>
        </is>
      </c>
      <c r="B59" t="inlineStr">
        <is>
          <t>Alpha</t>
        </is>
      </c>
      <c r="C59" t="n">
        <v>2024</v>
      </c>
      <c r="D59" t="inlineStr">
        <is>
          <t>Q2</t>
        </is>
      </c>
      <c r="E59" t="n">
        <v>6682.74</v>
      </c>
      <c r="F59" t="n">
        <v>4304.8</v>
      </c>
      <c r="G59" t="n">
        <v>1325</v>
      </c>
    </row>
    <row r="60">
      <c r="A60" t="inlineStr">
        <is>
          <t>East</t>
        </is>
      </c>
      <c r="B60" t="inlineStr">
        <is>
          <t>Beta</t>
        </is>
      </c>
      <c r="C60" t="n">
        <v>2022</v>
      </c>
      <c r="D60" t="inlineStr">
        <is>
          <t>Q3</t>
        </is>
      </c>
      <c r="E60" t="n">
        <v>22617.39</v>
      </c>
      <c r="F60" t="n">
        <v>12712.53</v>
      </c>
      <c r="G60" t="n">
        <v>1412</v>
      </c>
    </row>
    <row r="61">
      <c r="A61" t="inlineStr">
        <is>
          <t>West</t>
        </is>
      </c>
      <c r="B61" t="inlineStr">
        <is>
          <t>Gamma</t>
        </is>
      </c>
      <c r="C61" t="n">
        <v>2023</v>
      </c>
      <c r="D61" t="inlineStr">
        <is>
          <t>Q4</t>
        </is>
      </c>
      <c r="E61" t="n">
        <v>9709.9</v>
      </c>
      <c r="F61" t="n">
        <v>5451.7</v>
      </c>
      <c r="G61" t="n">
        <v>184</v>
      </c>
    </row>
    <row r="62">
      <c r="A62" t="inlineStr">
        <is>
          <t>North</t>
        </is>
      </c>
      <c r="B62" t="inlineStr">
        <is>
          <t>Alpha</t>
        </is>
      </c>
      <c r="C62" t="n">
        <v>2024</v>
      </c>
      <c r="D62" t="inlineStr">
        <is>
          <t>Q1</t>
        </is>
      </c>
      <c r="E62" t="n">
        <v>73770.83</v>
      </c>
      <c r="F62" t="n">
        <v>41462.58</v>
      </c>
      <c r="G62" t="n">
        <v>607</v>
      </c>
    </row>
    <row r="63">
      <c r="A63" t="inlineStr">
        <is>
          <t>South</t>
        </is>
      </c>
      <c r="B63" t="inlineStr">
        <is>
          <t>Beta</t>
        </is>
      </c>
      <c r="C63" t="n">
        <v>2022</v>
      </c>
      <c r="D63" t="inlineStr">
        <is>
          <t>Q2</t>
        </is>
      </c>
      <c r="E63" t="n">
        <v>27278.18</v>
      </c>
      <c r="F63" t="n">
        <v>17254.01</v>
      </c>
      <c r="G63" t="n">
        <v>1224</v>
      </c>
    </row>
    <row r="64">
      <c r="A64" t="inlineStr">
        <is>
          <t>East</t>
        </is>
      </c>
      <c r="B64" t="inlineStr">
        <is>
          <t>Gamma</t>
        </is>
      </c>
      <c r="C64" t="n">
        <v>2023</v>
      </c>
      <c r="D64" t="inlineStr">
        <is>
          <t>Q3</t>
        </is>
      </c>
      <c r="E64" t="n">
        <v>15584.95</v>
      </c>
      <c r="F64" t="n">
        <v>11050.31</v>
      </c>
      <c r="G64" t="n">
        <v>1289</v>
      </c>
    </row>
    <row r="65">
      <c r="A65" t="inlineStr">
        <is>
          <t>West</t>
        </is>
      </c>
      <c r="B65" t="inlineStr">
        <is>
          <t>Alpha</t>
        </is>
      </c>
      <c r="C65" t="n">
        <v>2024</v>
      </c>
      <c r="D65" t="inlineStr">
        <is>
          <t>Q4</t>
        </is>
      </c>
      <c r="E65" t="n">
        <v>51096.93</v>
      </c>
      <c r="F65" t="n">
        <v>30214.1</v>
      </c>
      <c r="G65" t="n">
        <v>1088</v>
      </c>
    </row>
    <row r="66">
      <c r="A66" t="inlineStr">
        <is>
          <t>North</t>
        </is>
      </c>
      <c r="B66" t="inlineStr">
        <is>
          <t>Beta</t>
        </is>
      </c>
      <c r="C66" t="n">
        <v>2022</v>
      </c>
      <c r="D66" t="inlineStr">
        <is>
          <t>Q1</t>
        </is>
      </c>
      <c r="E66" t="n">
        <v>69599.75999999999</v>
      </c>
      <c r="F66" t="n">
        <v>40532.79</v>
      </c>
      <c r="G66" t="n">
        <v>318</v>
      </c>
    </row>
    <row r="67">
      <c r="A67" t="inlineStr">
        <is>
          <t>South</t>
        </is>
      </c>
      <c r="B67" t="inlineStr">
        <is>
          <t>Gamma</t>
        </is>
      </c>
      <c r="C67" t="n">
        <v>2023</v>
      </c>
      <c r="D67" t="inlineStr">
        <is>
          <t>Q2</t>
        </is>
      </c>
      <c r="E67" t="n">
        <v>57718.62</v>
      </c>
      <c r="F67" t="n">
        <v>35221.67</v>
      </c>
      <c r="G67" t="n">
        <v>961</v>
      </c>
    </row>
    <row r="68">
      <c r="A68" t="inlineStr">
        <is>
          <t>East</t>
        </is>
      </c>
      <c r="B68" t="inlineStr">
        <is>
          <t>Alpha</t>
        </is>
      </c>
      <c r="C68" t="n">
        <v>2024</v>
      </c>
      <c r="D68" t="inlineStr">
        <is>
          <t>Q3</t>
        </is>
      </c>
      <c r="E68" t="n">
        <v>42361.97</v>
      </c>
      <c r="F68" t="n">
        <v>28549.55</v>
      </c>
      <c r="G68" t="n">
        <v>1443</v>
      </c>
    </row>
    <row r="69">
      <c r="A69" t="inlineStr">
        <is>
          <t>West</t>
        </is>
      </c>
      <c r="B69" t="inlineStr">
        <is>
          <t>Beta</t>
        </is>
      </c>
      <c r="C69" t="n">
        <v>2022</v>
      </c>
      <c r="D69" t="inlineStr">
        <is>
          <t>Q4</t>
        </is>
      </c>
      <c r="E69" t="n">
        <v>12873.43</v>
      </c>
      <c r="F69" t="n">
        <v>7961.52</v>
      </c>
      <c r="G69" t="n">
        <v>814</v>
      </c>
    </row>
    <row r="70">
      <c r="A70" t="inlineStr">
        <is>
          <t>North</t>
        </is>
      </c>
      <c r="B70" t="inlineStr">
        <is>
          <t>Gamma</t>
        </is>
      </c>
      <c r="C70" t="n">
        <v>2023</v>
      </c>
      <c r="D70" t="inlineStr">
        <is>
          <t>Q1</t>
        </is>
      </c>
      <c r="E70" t="n">
        <v>69047.39999999999</v>
      </c>
      <c r="F70" t="n">
        <v>39258.68</v>
      </c>
      <c r="G70" t="n">
        <v>512</v>
      </c>
    </row>
    <row r="71">
      <c r="A71" t="inlineStr">
        <is>
          <t>South</t>
        </is>
      </c>
      <c r="B71" t="inlineStr">
        <is>
          <t>Alpha</t>
        </is>
      </c>
      <c r="C71" t="n">
        <v>2024</v>
      </c>
      <c r="D71" t="inlineStr">
        <is>
          <t>Q2</t>
        </is>
      </c>
      <c r="E71" t="n">
        <v>20216.71</v>
      </c>
      <c r="F71" t="n">
        <v>12661</v>
      </c>
      <c r="G71" t="n">
        <v>984</v>
      </c>
    </row>
    <row r="72">
      <c r="A72" t="inlineStr">
        <is>
          <t>East</t>
        </is>
      </c>
      <c r="B72" t="inlineStr">
        <is>
          <t>Beta</t>
        </is>
      </c>
      <c r="C72" t="n">
        <v>2022</v>
      </c>
      <c r="D72" t="inlineStr">
        <is>
          <t>Q3</t>
        </is>
      </c>
      <c r="E72" t="n">
        <v>19679.04</v>
      </c>
      <c r="F72" t="n">
        <v>12371.16</v>
      </c>
      <c r="G72" t="n">
        <v>274</v>
      </c>
    </row>
    <row r="73">
      <c r="A73" t="inlineStr">
        <is>
          <t>West</t>
        </is>
      </c>
      <c r="B73" t="inlineStr">
        <is>
          <t>Gamma</t>
        </is>
      </c>
      <c r="C73" t="n">
        <v>2023</v>
      </c>
      <c r="D73" t="inlineStr">
        <is>
          <t>Q4</t>
        </is>
      </c>
      <c r="E73" t="n">
        <v>40450.46</v>
      </c>
      <c r="F73" t="n">
        <v>28170.89</v>
      </c>
      <c r="G73" t="n">
        <v>1247</v>
      </c>
    </row>
    <row r="74">
      <c r="A74" t="inlineStr">
        <is>
          <t>North</t>
        </is>
      </c>
      <c r="B74" t="inlineStr">
        <is>
          <t>Alpha</t>
        </is>
      </c>
      <c r="C74" t="n">
        <v>2024</v>
      </c>
      <c r="D74" t="inlineStr">
        <is>
          <t>Q1</t>
        </is>
      </c>
      <c r="E74" t="n">
        <v>12832.7</v>
      </c>
      <c r="F74" t="n">
        <v>8480.68</v>
      </c>
      <c r="G74" t="n">
        <v>1227</v>
      </c>
    </row>
    <row r="75">
      <c r="A75" t="inlineStr">
        <is>
          <t>South</t>
        </is>
      </c>
      <c r="B75" t="inlineStr">
        <is>
          <t>Beta</t>
        </is>
      </c>
      <c r="C75" t="n">
        <v>2022</v>
      </c>
      <c r="D75" t="inlineStr">
        <is>
          <t>Q2</t>
        </is>
      </c>
      <c r="E75" t="n">
        <v>71882.21000000001</v>
      </c>
      <c r="F75" t="n">
        <v>51376.33</v>
      </c>
      <c r="G75" t="n">
        <v>604</v>
      </c>
    </row>
    <row r="76">
      <c r="A76" t="inlineStr">
        <is>
          <t>East</t>
        </is>
      </c>
      <c r="B76" t="inlineStr">
        <is>
          <t>Gamma</t>
        </is>
      </c>
      <c r="C76" t="n">
        <v>2023</v>
      </c>
      <c r="D76" t="inlineStr">
        <is>
          <t>Q3</t>
        </is>
      </c>
      <c r="E76" t="n">
        <v>18304.89</v>
      </c>
      <c r="F76" t="n">
        <v>11578.92</v>
      </c>
      <c r="G76" t="n">
        <v>557</v>
      </c>
    </row>
    <row r="77">
      <c r="A77" t="inlineStr">
        <is>
          <t>West</t>
        </is>
      </c>
      <c r="B77" t="inlineStr">
        <is>
          <t>Alpha</t>
        </is>
      </c>
      <c r="C77" t="n">
        <v>2024</v>
      </c>
      <c r="D77" t="inlineStr">
        <is>
          <t>Q4</t>
        </is>
      </c>
      <c r="E77" t="n">
        <v>74172.03</v>
      </c>
      <c r="F77" t="n">
        <v>52173.74</v>
      </c>
      <c r="G77" t="n">
        <v>457</v>
      </c>
    </row>
    <row r="78">
      <c r="A78" t="inlineStr">
        <is>
          <t>North</t>
        </is>
      </c>
      <c r="B78" t="inlineStr">
        <is>
          <t>Beta</t>
        </is>
      </c>
      <c r="C78" t="n">
        <v>2022</v>
      </c>
      <c r="D78" t="inlineStr">
        <is>
          <t>Q1</t>
        </is>
      </c>
      <c r="E78" t="n">
        <v>35317.85</v>
      </c>
      <c r="F78" t="n">
        <v>25340.65</v>
      </c>
      <c r="G78" t="n">
        <v>663</v>
      </c>
    </row>
    <row r="79">
      <c r="A79" t="inlineStr">
        <is>
          <t>South</t>
        </is>
      </c>
      <c r="B79" t="inlineStr">
        <is>
          <t>Gamma</t>
        </is>
      </c>
      <c r="C79" t="n">
        <v>2023</v>
      </c>
      <c r="D79" t="inlineStr">
        <is>
          <t>Q2</t>
        </is>
      </c>
      <c r="E79" t="n">
        <v>79121.45</v>
      </c>
      <c r="F79" t="n">
        <v>54077.29</v>
      </c>
      <c r="G79" t="n">
        <v>704</v>
      </c>
    </row>
    <row r="80">
      <c r="A80" t="inlineStr">
        <is>
          <t>East</t>
        </is>
      </c>
      <c r="B80" t="inlineStr">
        <is>
          <t>Alpha</t>
        </is>
      </c>
      <c r="C80" t="n">
        <v>2024</v>
      </c>
      <c r="D80" t="inlineStr">
        <is>
          <t>Q3</t>
        </is>
      </c>
      <c r="E80" t="n">
        <v>38840.6</v>
      </c>
      <c r="F80" t="n">
        <v>27683.4</v>
      </c>
      <c r="G80" t="n">
        <v>1258</v>
      </c>
    </row>
    <row r="81">
      <c r="A81" t="inlineStr">
        <is>
          <t>West</t>
        </is>
      </c>
      <c r="B81" t="inlineStr">
        <is>
          <t>Beta</t>
        </is>
      </c>
      <c r="C81" t="n">
        <v>2022</v>
      </c>
      <c r="D81" t="inlineStr">
        <is>
          <t>Q4</t>
        </is>
      </c>
      <c r="E81" t="n">
        <v>57949.7</v>
      </c>
      <c r="F81" t="n">
        <v>36666.75</v>
      </c>
      <c r="G81" t="n">
        <v>508</v>
      </c>
    </row>
    <row r="82">
      <c r="A82" t="inlineStr">
        <is>
          <t>North</t>
        </is>
      </c>
      <c r="B82" t="inlineStr">
        <is>
          <t>Gamma</t>
        </is>
      </c>
      <c r="C82" t="n">
        <v>2023</v>
      </c>
      <c r="D82" t="inlineStr">
        <is>
          <t>Q1</t>
        </is>
      </c>
      <c r="E82" t="n">
        <v>28736.63</v>
      </c>
      <c r="F82" t="n">
        <v>20537.51</v>
      </c>
      <c r="G82" t="n">
        <v>1306</v>
      </c>
    </row>
    <row r="83">
      <c r="A83" t="inlineStr">
        <is>
          <t>South</t>
        </is>
      </c>
      <c r="B83" t="inlineStr">
        <is>
          <t>Alpha</t>
        </is>
      </c>
      <c r="C83" t="n">
        <v>2024</v>
      </c>
      <c r="D83" t="inlineStr">
        <is>
          <t>Q2</t>
        </is>
      </c>
      <c r="E83" t="n">
        <v>63858.97</v>
      </c>
      <c r="F83" t="n">
        <v>35784.19</v>
      </c>
      <c r="G83" t="n">
        <v>762</v>
      </c>
    </row>
    <row r="84">
      <c r="A84" t="inlineStr">
        <is>
          <t>East</t>
        </is>
      </c>
      <c r="B84" t="inlineStr">
        <is>
          <t>Beta</t>
        </is>
      </c>
      <c r="C84" t="n">
        <v>2022</v>
      </c>
      <c r="D84" t="inlineStr">
        <is>
          <t>Q3</t>
        </is>
      </c>
      <c r="E84" t="n">
        <v>9573.219999999999</v>
      </c>
      <c r="F84" t="n">
        <v>6215.99</v>
      </c>
      <c r="G84" t="n">
        <v>1149</v>
      </c>
    </row>
    <row r="85">
      <c r="A85" t="inlineStr">
        <is>
          <t>West</t>
        </is>
      </c>
      <c r="B85" t="inlineStr">
        <is>
          <t>Gamma</t>
        </is>
      </c>
      <c r="C85" t="n">
        <v>2023</v>
      </c>
      <c r="D85" t="inlineStr">
        <is>
          <t>Q4</t>
        </is>
      </c>
      <c r="E85" t="n">
        <v>78550.97</v>
      </c>
      <c r="F85" t="n">
        <v>50295.51</v>
      </c>
      <c r="G85" t="n">
        <v>236</v>
      </c>
    </row>
    <row r="86">
      <c r="A86" t="inlineStr">
        <is>
          <t>North</t>
        </is>
      </c>
      <c r="B86" t="inlineStr">
        <is>
          <t>Alpha</t>
        </is>
      </c>
      <c r="C86" t="n">
        <v>2024</v>
      </c>
      <c r="D86" t="inlineStr">
        <is>
          <t>Q1</t>
        </is>
      </c>
      <c r="E86" t="n">
        <v>81862.31</v>
      </c>
      <c r="F86" t="n">
        <v>46139.15</v>
      </c>
      <c r="G86" t="n">
        <v>500</v>
      </c>
    </row>
    <row r="87">
      <c r="A87" t="inlineStr">
        <is>
          <t>South</t>
        </is>
      </c>
      <c r="B87" t="inlineStr">
        <is>
          <t>Beta</t>
        </is>
      </c>
      <c r="C87" t="n">
        <v>2022</v>
      </c>
      <c r="D87" t="inlineStr">
        <is>
          <t>Q2</t>
        </is>
      </c>
      <c r="E87" t="n">
        <v>10481.71</v>
      </c>
      <c r="F87" t="n">
        <v>5886.04</v>
      </c>
      <c r="G87" t="n">
        <v>601</v>
      </c>
    </row>
    <row r="88">
      <c r="A88" t="inlineStr">
        <is>
          <t>East</t>
        </is>
      </c>
      <c r="B88" t="inlineStr">
        <is>
          <t>Gamma</t>
        </is>
      </c>
      <c r="C88" t="n">
        <v>2023</v>
      </c>
      <c r="D88" t="inlineStr">
        <is>
          <t>Q3</t>
        </is>
      </c>
      <c r="E88" t="n">
        <v>37302.04</v>
      </c>
      <c r="F88" t="n">
        <v>26487.11</v>
      </c>
      <c r="G88" t="n">
        <v>1286</v>
      </c>
    </row>
    <row r="89">
      <c r="A89" t="inlineStr">
        <is>
          <t>West</t>
        </is>
      </c>
      <c r="B89" t="inlineStr">
        <is>
          <t>Alpha</t>
        </is>
      </c>
      <c r="C89" t="n">
        <v>2024</v>
      </c>
      <c r="D89" t="inlineStr">
        <is>
          <t>Q4</t>
        </is>
      </c>
      <c r="E89" t="n">
        <v>24697.23</v>
      </c>
      <c r="F89" t="n">
        <v>16079.58</v>
      </c>
      <c r="G89" t="n">
        <v>1388</v>
      </c>
    </row>
    <row r="90">
      <c r="A90" t="inlineStr">
        <is>
          <t>North</t>
        </is>
      </c>
      <c r="B90" t="inlineStr">
        <is>
          <t>Beta</t>
        </is>
      </c>
      <c r="C90" t="n">
        <v>2022</v>
      </c>
      <c r="D90" t="inlineStr">
        <is>
          <t>Q1</t>
        </is>
      </c>
      <c r="E90" t="n">
        <v>11558.67</v>
      </c>
      <c r="F90" t="n">
        <v>7648.99</v>
      </c>
      <c r="G90" t="n">
        <v>1277</v>
      </c>
    </row>
    <row r="91">
      <c r="A91" t="inlineStr">
        <is>
          <t>South</t>
        </is>
      </c>
      <c r="B91" t="inlineStr">
        <is>
          <t>Gamma</t>
        </is>
      </c>
      <c r="C91" t="n">
        <v>2023</v>
      </c>
      <c r="D91" t="inlineStr">
        <is>
          <t>Q2</t>
        </is>
      </c>
      <c r="E91" t="n">
        <v>46822.62</v>
      </c>
      <c r="F91" t="n">
        <v>33192.56</v>
      </c>
      <c r="G91" t="n">
        <v>538</v>
      </c>
    </row>
    <row r="92">
      <c r="A92" t="inlineStr">
        <is>
          <t>East</t>
        </is>
      </c>
      <c r="B92" t="inlineStr">
        <is>
          <t>Alpha</t>
        </is>
      </c>
      <c r="C92" t="n">
        <v>2024</v>
      </c>
      <c r="D92" t="inlineStr">
        <is>
          <t>Q3</t>
        </is>
      </c>
      <c r="E92" t="n">
        <v>58578.08</v>
      </c>
      <c r="F92" t="n">
        <v>35346.67</v>
      </c>
      <c r="G92" t="n">
        <v>663</v>
      </c>
    </row>
    <row r="93">
      <c r="A93" t="inlineStr">
        <is>
          <t>West</t>
        </is>
      </c>
      <c r="B93" t="inlineStr">
        <is>
          <t>Beta</t>
        </is>
      </c>
      <c r="C93" t="n">
        <v>2022</v>
      </c>
      <c r="D93" t="inlineStr">
        <is>
          <t>Q4</t>
        </is>
      </c>
      <c r="E93" t="n">
        <v>36662.87</v>
      </c>
      <c r="F93" t="n">
        <v>24351.01</v>
      </c>
      <c r="G93" t="n">
        <v>734</v>
      </c>
    </row>
    <row r="94">
      <c r="A94" t="inlineStr">
        <is>
          <t>North</t>
        </is>
      </c>
      <c r="B94" t="inlineStr">
        <is>
          <t>Gamma</t>
        </is>
      </c>
      <c r="C94" t="n">
        <v>2023</v>
      </c>
      <c r="D94" t="inlineStr">
        <is>
          <t>Q1</t>
        </is>
      </c>
      <c r="E94" t="n">
        <v>41577.97</v>
      </c>
      <c r="F94" t="n">
        <v>29434.42</v>
      </c>
      <c r="G94" t="n">
        <v>268</v>
      </c>
    </row>
    <row r="95">
      <c r="A95" t="inlineStr">
        <is>
          <t>South</t>
        </is>
      </c>
      <c r="B95" t="inlineStr">
        <is>
          <t>Alpha</t>
        </is>
      </c>
      <c r="C95" t="n">
        <v>2024</v>
      </c>
      <c r="D95" t="inlineStr">
        <is>
          <t>Q2</t>
        </is>
      </c>
      <c r="E95" t="n">
        <v>5745.24</v>
      </c>
      <c r="F95" t="n">
        <v>3766.56</v>
      </c>
      <c r="G95" t="n">
        <v>1273</v>
      </c>
    </row>
    <row r="96">
      <c r="A96" t="inlineStr">
        <is>
          <t>East</t>
        </is>
      </c>
      <c r="B96" t="inlineStr">
        <is>
          <t>Beta</t>
        </is>
      </c>
      <c r="C96" t="n">
        <v>2022</v>
      </c>
      <c r="D96" t="inlineStr">
        <is>
          <t>Q3</t>
        </is>
      </c>
      <c r="E96" t="n">
        <v>84687.72</v>
      </c>
      <c r="F96" t="n">
        <v>47632.97</v>
      </c>
      <c r="G96" t="n">
        <v>556</v>
      </c>
    </row>
    <row r="97">
      <c r="A97" t="inlineStr">
        <is>
          <t>West</t>
        </is>
      </c>
      <c r="B97" t="inlineStr">
        <is>
          <t>Gamma</t>
        </is>
      </c>
      <c r="C97" t="n">
        <v>2023</v>
      </c>
      <c r="D97" t="inlineStr">
        <is>
          <t>Q4</t>
        </is>
      </c>
      <c r="E97" t="n">
        <v>45470.78</v>
      </c>
      <c r="F97" t="n">
        <v>26032.82</v>
      </c>
      <c r="G97" t="n">
        <v>834</v>
      </c>
    </row>
    <row r="98">
      <c r="A98" t="inlineStr">
        <is>
          <t>North</t>
        </is>
      </c>
      <c r="B98" t="inlineStr">
        <is>
          <t>Alpha</t>
        </is>
      </c>
      <c r="C98" t="n">
        <v>2024</v>
      </c>
      <c r="D98" t="inlineStr">
        <is>
          <t>Q1</t>
        </is>
      </c>
      <c r="E98" t="n">
        <v>75469.13</v>
      </c>
      <c r="F98" t="n">
        <v>52788.84</v>
      </c>
      <c r="G98" t="n">
        <v>876</v>
      </c>
    </row>
    <row r="99">
      <c r="A99" t="inlineStr">
        <is>
          <t>South</t>
        </is>
      </c>
      <c r="B99" t="inlineStr">
        <is>
          <t>Beta</t>
        </is>
      </c>
      <c r="C99" t="n">
        <v>2022</v>
      </c>
      <c r="D99" t="inlineStr">
        <is>
          <t>Q2</t>
        </is>
      </c>
      <c r="E99" t="n">
        <v>27798.99</v>
      </c>
      <c r="F99" t="n">
        <v>17360.23</v>
      </c>
      <c r="G99" t="n">
        <v>1232</v>
      </c>
    </row>
    <row r="100">
      <c r="A100" t="inlineStr">
        <is>
          <t>East</t>
        </is>
      </c>
      <c r="B100" t="inlineStr">
        <is>
          <t>Gamma</t>
        </is>
      </c>
      <c r="C100" t="n">
        <v>2023</v>
      </c>
      <c r="D100" t="inlineStr">
        <is>
          <t>Q3</t>
        </is>
      </c>
      <c r="E100" t="n">
        <v>61283.19</v>
      </c>
      <c r="F100" t="n">
        <v>40078.3</v>
      </c>
      <c r="G100" t="n">
        <v>1203</v>
      </c>
    </row>
    <row r="101">
      <c r="A101" t="inlineStr">
        <is>
          <t>West</t>
        </is>
      </c>
      <c r="B101" t="inlineStr">
        <is>
          <t>Alpha</t>
        </is>
      </c>
      <c r="C101" t="n">
        <v>2024</v>
      </c>
      <c r="D101" t="inlineStr">
        <is>
          <t>Q4</t>
        </is>
      </c>
      <c r="E101" t="n">
        <v>5625.85</v>
      </c>
      <c r="F101" t="n">
        <v>3875.69</v>
      </c>
      <c r="G101" t="n">
        <v>733</v>
      </c>
    </row>
    <row r="102">
      <c r="A102" t="inlineStr">
        <is>
          <t>North</t>
        </is>
      </c>
      <c r="B102" t="inlineStr">
        <is>
          <t>Beta</t>
        </is>
      </c>
      <c r="C102" t="n">
        <v>2022</v>
      </c>
      <c r="D102" t="inlineStr">
        <is>
          <t>Q1</t>
        </is>
      </c>
      <c r="E102" t="n">
        <v>79540.48</v>
      </c>
      <c r="F102" t="n">
        <v>45147.95</v>
      </c>
      <c r="G102" t="n">
        <v>395</v>
      </c>
    </row>
    <row r="103">
      <c r="A103" t="inlineStr">
        <is>
          <t>South</t>
        </is>
      </c>
      <c r="B103" t="inlineStr">
        <is>
          <t>Gamma</t>
        </is>
      </c>
      <c r="C103" t="n">
        <v>2023</v>
      </c>
      <c r="D103" t="inlineStr">
        <is>
          <t>Q2</t>
        </is>
      </c>
      <c r="E103" t="n">
        <v>26157.27</v>
      </c>
      <c r="F103" t="n">
        <v>18342.82</v>
      </c>
      <c r="G103" t="n">
        <v>1253</v>
      </c>
    </row>
    <row r="104">
      <c r="A104" t="inlineStr">
        <is>
          <t>East</t>
        </is>
      </c>
      <c r="B104" t="inlineStr">
        <is>
          <t>Alpha</t>
        </is>
      </c>
      <c r="C104" t="n">
        <v>2024</v>
      </c>
      <c r="D104" t="inlineStr">
        <is>
          <t>Q3</t>
        </is>
      </c>
      <c r="E104" t="n">
        <v>17435.83</v>
      </c>
      <c r="F104" t="n">
        <v>10424.86</v>
      </c>
      <c r="G104" t="n">
        <v>551</v>
      </c>
    </row>
    <row r="105">
      <c r="A105" t="inlineStr">
        <is>
          <t>West</t>
        </is>
      </c>
      <c r="B105" t="inlineStr">
        <is>
          <t>Beta</t>
        </is>
      </c>
      <c r="C105" t="n">
        <v>2022</v>
      </c>
      <c r="D105" t="inlineStr">
        <is>
          <t>Q4</t>
        </is>
      </c>
      <c r="E105" t="n">
        <v>62408.97</v>
      </c>
      <c r="F105" t="n">
        <v>36485</v>
      </c>
      <c r="G105" t="n">
        <v>1418</v>
      </c>
    </row>
    <row r="106">
      <c r="A106" t="inlineStr">
        <is>
          <t>North</t>
        </is>
      </c>
      <c r="B106" t="inlineStr">
        <is>
          <t>Gamma</t>
        </is>
      </c>
      <c r="C106" t="n">
        <v>2023</v>
      </c>
      <c r="D106" t="inlineStr">
        <is>
          <t>Q1</t>
        </is>
      </c>
      <c r="E106" t="n">
        <v>73233.03</v>
      </c>
      <c r="F106" t="n">
        <v>46570.31</v>
      </c>
      <c r="G106" t="n">
        <v>634</v>
      </c>
    </row>
    <row r="107">
      <c r="A107" t="inlineStr">
        <is>
          <t>South</t>
        </is>
      </c>
      <c r="B107" t="inlineStr">
        <is>
          <t>Alpha</t>
        </is>
      </c>
      <c r="C107" t="n">
        <v>2024</v>
      </c>
      <c r="D107" t="inlineStr">
        <is>
          <t>Q2</t>
        </is>
      </c>
      <c r="E107" t="n">
        <v>77426.92</v>
      </c>
      <c r="F107" t="n">
        <v>53721.71</v>
      </c>
      <c r="G107" t="n">
        <v>309</v>
      </c>
    </row>
    <row r="108">
      <c r="A108" t="inlineStr">
        <is>
          <t>East</t>
        </is>
      </c>
      <c r="B108" t="inlineStr">
        <is>
          <t>Beta</t>
        </is>
      </c>
      <c r="C108" t="n">
        <v>2022</v>
      </c>
      <c r="D108" t="inlineStr">
        <is>
          <t>Q3</t>
        </is>
      </c>
      <c r="E108" t="n">
        <v>55742.76</v>
      </c>
      <c r="F108" t="n">
        <v>38517.64</v>
      </c>
      <c r="G108" t="n">
        <v>210</v>
      </c>
    </row>
    <row r="109">
      <c r="A109" t="inlineStr">
        <is>
          <t>West</t>
        </is>
      </c>
      <c r="B109" t="inlineStr">
        <is>
          <t>Gamma</t>
        </is>
      </c>
      <c r="C109" t="n">
        <v>2023</v>
      </c>
      <c r="D109" t="inlineStr">
        <is>
          <t>Q4</t>
        </is>
      </c>
      <c r="E109" t="n">
        <v>5283.66</v>
      </c>
      <c r="F109" t="n">
        <v>3598.65</v>
      </c>
      <c r="G109" t="n">
        <v>1424</v>
      </c>
    </row>
    <row r="110">
      <c r="A110" t="inlineStr">
        <is>
          <t>North</t>
        </is>
      </c>
      <c r="B110" t="inlineStr">
        <is>
          <t>Alpha</t>
        </is>
      </c>
      <c r="C110" t="n">
        <v>2024</v>
      </c>
      <c r="D110" t="inlineStr">
        <is>
          <t>Q1</t>
        </is>
      </c>
      <c r="E110" t="n">
        <v>83383.84</v>
      </c>
      <c r="F110" t="n">
        <v>48151.58</v>
      </c>
      <c r="G110" t="n">
        <v>1024</v>
      </c>
    </row>
    <row r="111">
      <c r="A111" t="inlineStr">
        <is>
          <t>South</t>
        </is>
      </c>
      <c r="B111" t="inlineStr">
        <is>
          <t>Beta</t>
        </is>
      </c>
      <c r="C111" t="n">
        <v>2022</v>
      </c>
      <c r="D111" t="inlineStr">
        <is>
          <t>Q2</t>
        </is>
      </c>
      <c r="E111" t="n">
        <v>49134.43</v>
      </c>
      <c r="F111" t="n">
        <v>30596.34</v>
      </c>
      <c r="G111" t="n">
        <v>139</v>
      </c>
    </row>
    <row r="112">
      <c r="A112" t="inlineStr">
        <is>
          <t>East</t>
        </is>
      </c>
      <c r="B112" t="inlineStr">
        <is>
          <t>Gamma</t>
        </is>
      </c>
      <c r="C112" t="n">
        <v>2023</v>
      </c>
      <c r="D112" t="inlineStr">
        <is>
          <t>Q3</t>
        </is>
      </c>
      <c r="E112" t="n">
        <v>13949.91</v>
      </c>
      <c r="F112" t="n">
        <v>9913.620000000001</v>
      </c>
      <c r="G112" t="n">
        <v>425</v>
      </c>
    </row>
    <row r="113">
      <c r="A113" t="inlineStr">
        <is>
          <t>West</t>
        </is>
      </c>
      <c r="B113" t="inlineStr">
        <is>
          <t>Alpha</t>
        </is>
      </c>
      <c r="C113" t="n">
        <v>2024</v>
      </c>
      <c r="D113" t="inlineStr">
        <is>
          <t>Q4</t>
        </is>
      </c>
      <c r="E113" t="n">
        <v>48647.22</v>
      </c>
      <c r="F113" t="n">
        <v>33658.09</v>
      </c>
      <c r="G113" t="n">
        <v>1312</v>
      </c>
    </row>
    <row r="114">
      <c r="A114" t="inlineStr">
        <is>
          <t>North</t>
        </is>
      </c>
      <c r="B114" t="inlineStr">
        <is>
          <t>Beta</t>
        </is>
      </c>
      <c r="C114" t="n">
        <v>2022</v>
      </c>
      <c r="D114" t="inlineStr">
        <is>
          <t>Q1</t>
        </is>
      </c>
      <c r="E114" t="n">
        <v>49202.01</v>
      </c>
      <c r="F114" t="n">
        <v>30655.99</v>
      </c>
      <c r="G114" t="n">
        <v>205</v>
      </c>
    </row>
    <row r="115">
      <c r="A115" t="inlineStr">
        <is>
          <t>South</t>
        </is>
      </c>
      <c r="B115" t="inlineStr">
        <is>
          <t>Gamma</t>
        </is>
      </c>
      <c r="C115" t="n">
        <v>2023</v>
      </c>
      <c r="D115" t="inlineStr">
        <is>
          <t>Q2</t>
        </is>
      </c>
      <c r="E115" t="n">
        <v>29660.67</v>
      </c>
      <c r="F115" t="n">
        <v>20846.32</v>
      </c>
      <c r="G115" t="n">
        <v>201</v>
      </c>
    </row>
    <row r="116">
      <c r="A116" t="inlineStr">
        <is>
          <t>East</t>
        </is>
      </c>
      <c r="B116" t="inlineStr">
        <is>
          <t>Alpha</t>
        </is>
      </c>
      <c r="C116" t="n">
        <v>2024</v>
      </c>
      <c r="D116" t="inlineStr">
        <is>
          <t>Q3</t>
        </is>
      </c>
      <c r="E116" t="n">
        <v>76913.97</v>
      </c>
      <c r="F116" t="n">
        <v>45049.51</v>
      </c>
      <c r="G116" t="n">
        <v>631</v>
      </c>
    </row>
    <row r="117">
      <c r="A117" t="inlineStr">
        <is>
          <t>West</t>
        </is>
      </c>
      <c r="B117" t="inlineStr">
        <is>
          <t>Beta</t>
        </is>
      </c>
      <c r="C117" t="n">
        <v>2022</v>
      </c>
      <c r="D117" t="inlineStr">
        <is>
          <t>Q4</t>
        </is>
      </c>
      <c r="E117" t="n">
        <v>58354.67</v>
      </c>
      <c r="F117" t="n">
        <v>35603.66</v>
      </c>
      <c r="G117" t="n">
        <v>1266</v>
      </c>
    </row>
    <row r="118">
      <c r="A118" t="inlineStr">
        <is>
          <t>North</t>
        </is>
      </c>
      <c r="B118" t="inlineStr">
        <is>
          <t>Gamma</t>
        </is>
      </c>
      <c r="C118" t="n">
        <v>2023</v>
      </c>
      <c r="D118" t="inlineStr">
        <is>
          <t>Q1</t>
        </is>
      </c>
      <c r="E118" t="n">
        <v>75730.78</v>
      </c>
      <c r="F118" t="n">
        <v>46883.73</v>
      </c>
      <c r="G118" t="n">
        <v>1391</v>
      </c>
    </row>
    <row r="119">
      <c r="A119" t="inlineStr">
        <is>
          <t>South</t>
        </is>
      </c>
      <c r="B119" t="inlineStr">
        <is>
          <t>Alpha</t>
        </is>
      </c>
      <c r="C119" t="n">
        <v>2024</v>
      </c>
      <c r="D119" t="inlineStr">
        <is>
          <t>Q2</t>
        </is>
      </c>
      <c r="E119" t="n">
        <v>64958.21</v>
      </c>
      <c r="F119" t="n">
        <v>45950.13</v>
      </c>
      <c r="G119" t="n">
        <v>604</v>
      </c>
    </row>
    <row r="120">
      <c r="A120" t="inlineStr">
        <is>
          <t>East</t>
        </is>
      </c>
      <c r="B120" t="inlineStr">
        <is>
          <t>Beta</t>
        </is>
      </c>
      <c r="C120" t="n">
        <v>2022</v>
      </c>
      <c r="D120" t="inlineStr">
        <is>
          <t>Q3</t>
        </is>
      </c>
      <c r="E120" t="n">
        <v>74168.46000000001</v>
      </c>
      <c r="F120" t="n">
        <v>53101.28</v>
      </c>
      <c r="G120" t="n">
        <v>482</v>
      </c>
    </row>
    <row r="121">
      <c r="A121" t="inlineStr">
        <is>
          <t>West</t>
        </is>
      </c>
      <c r="B121" t="inlineStr">
        <is>
          <t>Gamma</t>
        </is>
      </c>
      <c r="C121" t="n">
        <v>2023</v>
      </c>
      <c r="D121" t="inlineStr">
        <is>
          <t>Q4</t>
        </is>
      </c>
      <c r="E121" t="n">
        <v>75513.3</v>
      </c>
      <c r="F121" t="n">
        <v>41850.5</v>
      </c>
      <c r="G121" t="n">
        <v>800</v>
      </c>
    </row>
    <row r="122">
      <c r="A122" t="inlineStr">
        <is>
          <t>North</t>
        </is>
      </c>
      <c r="B122" t="inlineStr">
        <is>
          <t>Alpha</t>
        </is>
      </c>
      <c r="C122" t="n">
        <v>2024</v>
      </c>
      <c r="D122" t="inlineStr">
        <is>
          <t>Q1</t>
        </is>
      </c>
      <c r="E122" t="n">
        <v>67590.92</v>
      </c>
      <c r="F122" t="n">
        <v>41905.78</v>
      </c>
      <c r="G122" t="n">
        <v>628</v>
      </c>
    </row>
    <row r="123">
      <c r="A123" t="inlineStr">
        <is>
          <t>South</t>
        </is>
      </c>
      <c r="B123" t="inlineStr">
        <is>
          <t>Beta</t>
        </is>
      </c>
      <c r="C123" t="n">
        <v>2022</v>
      </c>
      <c r="D123" t="inlineStr">
        <is>
          <t>Q2</t>
        </is>
      </c>
      <c r="E123" t="n">
        <v>26344.46</v>
      </c>
      <c r="F123" t="n">
        <v>18015.76</v>
      </c>
      <c r="G123" t="n">
        <v>341</v>
      </c>
    </row>
    <row r="124">
      <c r="A124" t="inlineStr">
        <is>
          <t>East</t>
        </is>
      </c>
      <c r="B124" t="inlineStr">
        <is>
          <t>Gamma</t>
        </is>
      </c>
      <c r="C124" t="n">
        <v>2023</v>
      </c>
      <c r="D124" t="inlineStr">
        <is>
          <t>Q3</t>
        </is>
      </c>
      <c r="E124" t="n">
        <v>35603.34</v>
      </c>
      <c r="F124" t="n">
        <v>19816.22</v>
      </c>
      <c r="G124" t="n">
        <v>1083</v>
      </c>
    </row>
    <row r="125">
      <c r="A125" t="inlineStr">
        <is>
          <t>West</t>
        </is>
      </c>
      <c r="B125" t="inlineStr">
        <is>
          <t>Alpha</t>
        </is>
      </c>
      <c r="C125" t="n">
        <v>2024</v>
      </c>
      <c r="D125" t="inlineStr">
        <is>
          <t>Q4</t>
        </is>
      </c>
      <c r="E125" t="n">
        <v>22794.7</v>
      </c>
      <c r="F125" t="n">
        <v>15701.44</v>
      </c>
      <c r="G125" t="n">
        <v>1062</v>
      </c>
    </row>
    <row r="126">
      <c r="A126" t="inlineStr">
        <is>
          <t>North</t>
        </is>
      </c>
      <c r="B126" t="inlineStr">
        <is>
          <t>Beta</t>
        </is>
      </c>
      <c r="C126" t="n">
        <v>2022</v>
      </c>
      <c r="D126" t="inlineStr">
        <is>
          <t>Q1</t>
        </is>
      </c>
      <c r="E126" t="n">
        <v>32972.67</v>
      </c>
      <c r="F126" t="n">
        <v>22734.37</v>
      </c>
      <c r="G126" t="n">
        <v>586</v>
      </c>
    </row>
    <row r="127">
      <c r="A127" t="inlineStr">
        <is>
          <t>South</t>
        </is>
      </c>
      <c r="B127" t="inlineStr">
        <is>
          <t>Gamma</t>
        </is>
      </c>
      <c r="C127" t="n">
        <v>2023</v>
      </c>
      <c r="D127" t="inlineStr">
        <is>
          <t>Q2</t>
        </is>
      </c>
      <c r="E127" t="n">
        <v>22833.88</v>
      </c>
      <c r="F127" t="n">
        <v>15120.72</v>
      </c>
      <c r="G127" t="n">
        <v>936</v>
      </c>
    </row>
    <row r="128">
      <c r="A128" t="inlineStr">
        <is>
          <t>East</t>
        </is>
      </c>
      <c r="B128" t="inlineStr">
        <is>
          <t>Alpha</t>
        </is>
      </c>
      <c r="C128" t="n">
        <v>2024</v>
      </c>
      <c r="D128" t="inlineStr">
        <is>
          <t>Q3</t>
        </is>
      </c>
      <c r="E128" t="n">
        <v>31260.96</v>
      </c>
      <c r="F128" t="n">
        <v>21787.01</v>
      </c>
      <c r="G128" t="n">
        <v>691</v>
      </c>
    </row>
    <row r="129">
      <c r="A129" t="inlineStr">
        <is>
          <t>West</t>
        </is>
      </c>
      <c r="B129" t="inlineStr">
        <is>
          <t>Beta</t>
        </is>
      </c>
      <c r="C129" t="n">
        <v>2022</v>
      </c>
      <c r="D129" t="inlineStr">
        <is>
          <t>Q4</t>
        </is>
      </c>
      <c r="E129" t="n">
        <v>33091.69</v>
      </c>
      <c r="F129" t="n">
        <v>21066.14</v>
      </c>
      <c r="G129" t="n">
        <v>1218</v>
      </c>
    </row>
    <row r="130">
      <c r="A130" t="inlineStr">
        <is>
          <t>North</t>
        </is>
      </c>
      <c r="B130" t="inlineStr">
        <is>
          <t>Gamma</t>
        </is>
      </c>
      <c r="C130" t="n">
        <v>2023</v>
      </c>
      <c r="D130" t="inlineStr">
        <is>
          <t>Q1</t>
        </is>
      </c>
      <c r="E130" t="n">
        <v>31491.99</v>
      </c>
      <c r="F130" t="n">
        <v>17468.36</v>
      </c>
      <c r="G130" t="n">
        <v>654</v>
      </c>
    </row>
    <row r="131">
      <c r="A131" t="inlineStr">
        <is>
          <t>South</t>
        </is>
      </c>
      <c r="B131" t="inlineStr">
        <is>
          <t>Alpha</t>
        </is>
      </c>
      <c r="C131" t="n">
        <v>2024</v>
      </c>
      <c r="D131" t="inlineStr">
        <is>
          <t>Q2</t>
        </is>
      </c>
      <c r="E131" t="n">
        <v>19285.43</v>
      </c>
      <c r="F131" t="n">
        <v>13762.68</v>
      </c>
      <c r="G131" t="n">
        <v>663</v>
      </c>
    </row>
    <row r="132">
      <c r="A132" t="inlineStr">
        <is>
          <t>East</t>
        </is>
      </c>
      <c r="B132" t="inlineStr">
        <is>
          <t>Beta</t>
        </is>
      </c>
      <c r="C132" t="n">
        <v>2022</v>
      </c>
      <c r="D132" t="inlineStr">
        <is>
          <t>Q3</t>
        </is>
      </c>
      <c r="E132" t="n">
        <v>8060.58</v>
      </c>
      <c r="F132" t="n">
        <v>5250.8</v>
      </c>
      <c r="G132" t="n">
        <v>827</v>
      </c>
    </row>
    <row r="133">
      <c r="A133" t="inlineStr">
        <is>
          <t>West</t>
        </is>
      </c>
      <c r="B133" t="inlineStr">
        <is>
          <t>Gamma</t>
        </is>
      </c>
      <c r="C133" t="n">
        <v>2023</v>
      </c>
      <c r="D133" t="inlineStr">
        <is>
          <t>Q4</t>
        </is>
      </c>
      <c r="E133" t="n">
        <v>63283.6</v>
      </c>
      <c r="F133" t="n">
        <v>38180.59</v>
      </c>
      <c r="G133" t="n">
        <v>1361</v>
      </c>
    </row>
    <row r="134">
      <c r="A134" t="inlineStr">
        <is>
          <t>North</t>
        </is>
      </c>
      <c r="B134" t="inlineStr">
        <is>
          <t>Alpha</t>
        </is>
      </c>
      <c r="C134" t="n">
        <v>2024</v>
      </c>
      <c r="D134" t="inlineStr">
        <is>
          <t>Q1</t>
        </is>
      </c>
      <c r="E134" t="n">
        <v>83738.87</v>
      </c>
      <c r="F134" t="n">
        <v>47702.67</v>
      </c>
      <c r="G134" t="n">
        <v>1300</v>
      </c>
    </row>
    <row r="135">
      <c r="A135" t="inlineStr">
        <is>
          <t>South</t>
        </is>
      </c>
      <c r="B135" t="inlineStr">
        <is>
          <t>Beta</t>
        </is>
      </c>
      <c r="C135" t="n">
        <v>2022</v>
      </c>
      <c r="D135" t="inlineStr">
        <is>
          <t>Q2</t>
        </is>
      </c>
      <c r="E135" t="n">
        <v>20206.3</v>
      </c>
      <c r="F135" t="n">
        <v>11265.94</v>
      </c>
      <c r="G135" t="n">
        <v>1013</v>
      </c>
    </row>
    <row r="136">
      <c r="A136" t="inlineStr">
        <is>
          <t>East</t>
        </is>
      </c>
      <c r="B136" t="inlineStr">
        <is>
          <t>Gamma</t>
        </is>
      </c>
      <c r="C136" t="n">
        <v>2023</v>
      </c>
      <c r="D136" t="inlineStr">
        <is>
          <t>Q3</t>
        </is>
      </c>
      <c r="E136" t="n">
        <v>5135.3</v>
      </c>
      <c r="F136" t="n">
        <v>3632.44</v>
      </c>
      <c r="G136" t="n">
        <v>1222</v>
      </c>
    </row>
    <row r="137">
      <c r="A137" t="inlineStr">
        <is>
          <t>West</t>
        </is>
      </c>
      <c r="B137" t="inlineStr">
        <is>
          <t>Alpha</t>
        </is>
      </c>
      <c r="C137" t="n">
        <v>2024</v>
      </c>
      <c r="D137" t="inlineStr">
        <is>
          <t>Q4</t>
        </is>
      </c>
      <c r="E137" t="n">
        <v>59948.57</v>
      </c>
      <c r="F137" t="n">
        <v>42554.18</v>
      </c>
      <c r="G137" t="n">
        <v>523</v>
      </c>
    </row>
    <row r="138">
      <c r="A138" t="inlineStr">
        <is>
          <t>North</t>
        </is>
      </c>
      <c r="B138" t="inlineStr">
        <is>
          <t>Beta</t>
        </is>
      </c>
      <c r="C138" t="n">
        <v>2022</v>
      </c>
      <c r="D138" t="inlineStr">
        <is>
          <t>Q1</t>
        </is>
      </c>
      <c r="E138" t="n">
        <v>34137.72</v>
      </c>
      <c r="F138" t="n">
        <v>19181.83</v>
      </c>
      <c r="G138" t="n">
        <v>796</v>
      </c>
    </row>
    <row r="139">
      <c r="A139" t="inlineStr">
        <is>
          <t>South</t>
        </is>
      </c>
      <c r="B139" t="inlineStr">
        <is>
          <t>Gamma</t>
        </is>
      </c>
      <c r="C139" t="n">
        <v>2023</v>
      </c>
      <c r="D139" t="inlineStr">
        <is>
          <t>Q2</t>
        </is>
      </c>
      <c r="E139" t="n">
        <v>54852.43</v>
      </c>
      <c r="F139" t="n">
        <v>36354.87</v>
      </c>
      <c r="G139" t="n">
        <v>375</v>
      </c>
    </row>
    <row r="140">
      <c r="A140" t="inlineStr">
        <is>
          <t>East</t>
        </is>
      </c>
      <c r="B140" t="inlineStr">
        <is>
          <t>Alpha</t>
        </is>
      </c>
      <c r="C140" t="n">
        <v>2024</v>
      </c>
      <c r="D140" t="inlineStr">
        <is>
          <t>Q3</t>
        </is>
      </c>
      <c r="E140" t="n">
        <v>62580.34</v>
      </c>
      <c r="F140" t="n">
        <v>37614.21</v>
      </c>
      <c r="G140" t="n">
        <v>753</v>
      </c>
    </row>
    <row r="141">
      <c r="A141" t="inlineStr">
        <is>
          <t>West</t>
        </is>
      </c>
      <c r="B141" t="inlineStr">
        <is>
          <t>Beta</t>
        </is>
      </c>
      <c r="C141" t="n">
        <v>2022</v>
      </c>
      <c r="D141" t="inlineStr">
        <is>
          <t>Q4</t>
        </is>
      </c>
      <c r="E141" t="n">
        <v>58351.43</v>
      </c>
      <c r="F141" t="n">
        <v>35328.94</v>
      </c>
      <c r="G141" t="n">
        <v>725</v>
      </c>
    </row>
    <row r="142">
      <c r="A142" t="inlineStr">
        <is>
          <t>North</t>
        </is>
      </c>
      <c r="B142" t="inlineStr">
        <is>
          <t>Gamma</t>
        </is>
      </c>
      <c r="C142" t="n">
        <v>2023</v>
      </c>
      <c r="D142" t="inlineStr">
        <is>
          <t>Q1</t>
        </is>
      </c>
      <c r="E142" t="n">
        <v>49353</v>
      </c>
      <c r="F142" t="n">
        <v>28753.69</v>
      </c>
      <c r="G142" t="n">
        <v>896</v>
      </c>
    </row>
    <row r="143">
      <c r="A143" t="inlineStr">
        <is>
          <t>South</t>
        </is>
      </c>
      <c r="B143" t="inlineStr">
        <is>
          <t>Alpha</t>
        </is>
      </c>
      <c r="C143" t="n">
        <v>2024</v>
      </c>
      <c r="D143" t="inlineStr">
        <is>
          <t>Q2</t>
        </is>
      </c>
      <c r="E143" t="n">
        <v>59185.44</v>
      </c>
      <c r="F143" t="n">
        <v>41635.59</v>
      </c>
      <c r="G143" t="n">
        <v>1380</v>
      </c>
    </row>
    <row r="144">
      <c r="A144" t="inlineStr">
        <is>
          <t>East</t>
        </is>
      </c>
      <c r="B144" t="inlineStr">
        <is>
          <t>Beta</t>
        </is>
      </c>
      <c r="C144" t="n">
        <v>2022</v>
      </c>
      <c r="D144" t="inlineStr">
        <is>
          <t>Q3</t>
        </is>
      </c>
      <c r="E144" t="n">
        <v>50528.42</v>
      </c>
      <c r="F144" t="n">
        <v>31278.75</v>
      </c>
      <c r="G144" t="n">
        <v>120</v>
      </c>
    </row>
    <row r="145">
      <c r="A145" t="inlineStr">
        <is>
          <t>West</t>
        </is>
      </c>
      <c r="B145" t="inlineStr">
        <is>
          <t>Gamma</t>
        </is>
      </c>
      <c r="C145" t="n">
        <v>2023</v>
      </c>
      <c r="D145" t="inlineStr">
        <is>
          <t>Q4</t>
        </is>
      </c>
      <c r="E145" t="n">
        <v>29310</v>
      </c>
      <c r="F145" t="n">
        <v>17167.78</v>
      </c>
      <c r="G145" t="n">
        <v>1307</v>
      </c>
    </row>
    <row r="146">
      <c r="A146" t="inlineStr">
        <is>
          <t>North</t>
        </is>
      </c>
      <c r="B146" t="inlineStr">
        <is>
          <t>Alpha</t>
        </is>
      </c>
      <c r="C146" t="n">
        <v>2024</v>
      </c>
      <c r="D146" t="inlineStr">
        <is>
          <t>Q1</t>
        </is>
      </c>
      <c r="E146" t="n">
        <v>53532.93</v>
      </c>
      <c r="F146" t="n">
        <v>32375.77</v>
      </c>
      <c r="G146" t="n">
        <v>1024</v>
      </c>
    </row>
    <row r="147">
      <c r="A147" t="inlineStr">
        <is>
          <t>South</t>
        </is>
      </c>
      <c r="B147" t="inlineStr">
        <is>
          <t>Beta</t>
        </is>
      </c>
      <c r="C147" t="n">
        <v>2022</v>
      </c>
      <c r="D147" t="inlineStr">
        <is>
          <t>Q2</t>
        </is>
      </c>
      <c r="E147" t="n">
        <v>40372.78</v>
      </c>
      <c r="F147" t="n">
        <v>23671.74</v>
      </c>
      <c r="G147" t="n">
        <v>1089</v>
      </c>
    </row>
    <row r="148">
      <c r="A148" t="inlineStr">
        <is>
          <t>East</t>
        </is>
      </c>
      <c r="B148" t="inlineStr">
        <is>
          <t>Gamma</t>
        </is>
      </c>
      <c r="C148" t="n">
        <v>2023</v>
      </c>
      <c r="D148" t="inlineStr">
        <is>
          <t>Q3</t>
        </is>
      </c>
      <c r="E148" t="n">
        <v>68498.83</v>
      </c>
      <c r="F148" t="n">
        <v>48851.41</v>
      </c>
      <c r="G148" t="n">
        <v>467</v>
      </c>
    </row>
    <row r="149">
      <c r="A149" t="inlineStr">
        <is>
          <t>West</t>
        </is>
      </c>
      <c r="B149" t="inlineStr">
        <is>
          <t>Alpha</t>
        </is>
      </c>
      <c r="C149" t="n">
        <v>2024</v>
      </c>
      <c r="D149" t="inlineStr">
        <is>
          <t>Q4</t>
        </is>
      </c>
      <c r="E149" t="n">
        <v>57708.06</v>
      </c>
      <c r="F149" t="n">
        <v>34523.48</v>
      </c>
      <c r="G149" t="n">
        <v>1416</v>
      </c>
    </row>
    <row r="150">
      <c r="A150" t="inlineStr">
        <is>
          <t>North</t>
        </is>
      </c>
      <c r="B150" t="inlineStr">
        <is>
          <t>Beta</t>
        </is>
      </c>
      <c r="C150" t="n">
        <v>2022</v>
      </c>
      <c r="D150" t="inlineStr">
        <is>
          <t>Q1</t>
        </is>
      </c>
      <c r="E150" t="n">
        <v>54540.86</v>
      </c>
      <c r="F150" t="n">
        <v>30863.35</v>
      </c>
      <c r="G150" t="n">
        <v>601</v>
      </c>
    </row>
    <row r="151">
      <c r="A151" t="inlineStr">
        <is>
          <t>South</t>
        </is>
      </c>
      <c r="B151" t="inlineStr">
        <is>
          <t>Gamma</t>
        </is>
      </c>
      <c r="C151" t="n">
        <v>2023</v>
      </c>
      <c r="D151" t="inlineStr">
        <is>
          <t>Q2</t>
        </is>
      </c>
      <c r="E151" t="n">
        <v>58823.65</v>
      </c>
      <c r="F151" t="n">
        <v>34599.42</v>
      </c>
      <c r="G151" t="n">
        <v>527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Complex Financial Model</t>
        </is>
      </c>
    </row>
    <row r="3">
      <c r="A3" t="inlineStr">
        <is>
          <t>Assumptions</t>
        </is>
      </c>
    </row>
    <row r="4">
      <c r="A4" t="inlineStr">
        <is>
          <t>GrowthRate</t>
        </is>
      </c>
      <c r="B4" t="n">
        <v>0.12</v>
      </c>
    </row>
    <row r="5">
      <c r="A5" t="inlineStr">
        <is>
          <t>TaxRate</t>
        </is>
      </c>
      <c r="B5" t="n">
        <v>0.23</v>
      </c>
    </row>
    <row r="6">
      <c r="A6" t="inlineStr">
        <is>
          <t>DiscountRate</t>
        </is>
      </c>
      <c r="B6" t="n">
        <v>0.08</v>
      </c>
    </row>
    <row r="10">
      <c r="D10" t="inlineStr">
        <is>
          <t>Tiered Margin Calc (Critical Complexity)</t>
        </is>
      </c>
      <c r="E10">
        <f>IFERROR(INDEX({0.35,0.28,0.22,0.15},MATCH(SUMPRODUCT((SalesData!E2:E151&gt;50000)*(SalesData!C2:C151=2024)*1),{1,2,3,4},1)),0.1)</f>
        <v/>
      </c>
    </row>
    <row r="12">
      <c r="A12" t="inlineStr">
        <is>
          <t>Year</t>
        </is>
      </c>
      <c r="B12" t="inlineStr">
        <is>
          <t>Revenue</t>
        </is>
      </c>
      <c r="C12" t="inlineStr">
        <is>
          <t>Cumulative</t>
        </is>
      </c>
      <c r="D12" t="inlineStr">
        <is>
          <t>Margin %</t>
        </is>
      </c>
    </row>
    <row r="13">
      <c r="A13" t="n">
        <v>2022</v>
      </c>
      <c r="B13">
        <f>SUMPRODUCT((SalesData!C2:C151=2022)*(SalesData!E2:E151))</f>
        <v/>
      </c>
      <c r="C13">
        <f>B13</f>
        <v/>
      </c>
      <c r="D13">
        <f>IFERROR((B13-SUMPRODUCT((SalesData!C2:C151=2022)*(SalesData!F2:F151)))/B13,0)</f>
        <v/>
      </c>
    </row>
    <row r="14">
      <c r="A14" t="n">
        <v>2023</v>
      </c>
      <c r="B14">
        <f>SUMPRODUCT((SalesData!C2:C151=2023)*(SalesData!E2:E151))</f>
        <v/>
      </c>
      <c r="C14">
        <f>C13+B14</f>
        <v/>
      </c>
      <c r="D14">
        <f>IFERROR((B14-SUMPRODUCT((SalesData!C2:C151=2023)*(SalesData!F2:F151)))/B14,0)</f>
        <v/>
      </c>
    </row>
    <row r="15">
      <c r="A15" t="n">
        <v>2024</v>
      </c>
      <c r="B15">
        <f>SUMPRODUCT((SalesData!C2:C151=2024)*(SalesData!E2:E151))</f>
        <v/>
      </c>
      <c r="C15">
        <f>C14+B15</f>
        <v/>
      </c>
      <c r="D15">
        <f>IFERROR((B15-SUMPRODUCT((SalesData!C2:C151=2024)*(SalesData!F2:F151)))/B15,0)</f>
        <v/>
      </c>
    </row>
    <row r="16">
      <c r="A16" t="n">
        <v>2025</v>
      </c>
      <c r="B16">
        <f>SUMPRODUCT((SalesData!C2:C151=2025)*(SalesData!E2:E151))</f>
        <v/>
      </c>
      <c r="C16">
        <f>C15+B16</f>
        <v/>
      </c>
      <c r="D16">
        <f>IFERROR((B16-SUMPRODUCT((SalesData!C2:C151=2025)*(SalesData!F2:F151)))/B16,0)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Thresholds</t>
        </is>
      </c>
      <c r="B1" t="n">
        <v>75000</v>
      </c>
    </row>
    <row r="3">
      <c r="A3" t="inlineStr">
        <is>
          <t>DebugMode</t>
        </is>
      </c>
      <c r="B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VBA Trigger Flag</t>
        </is>
      </c>
      <c r="B1" t="inlineStr">
        <is>
          <t>ENABLED</t>
        </is>
      </c>
    </row>
    <row r="2">
      <c r="A2" t="inlineStr">
        <is>
          <t>LastAudit</t>
        </is>
      </c>
      <c r="B2" t="inlineStr">
        <is>
          <t>2026-06-09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simulates VBA presence (in real .xlsm there would be vbaProject.bin)</t>
        </is>
      </c>
    </row>
    <row r="3">
      <c r="A3" t="inlineStr">
        <is>
          <t>AutoExecFlag</t>
        </is>
      </c>
      <c r="B3" t="inlineStr">
        <is>
          <t>ENABLED</t>
        </is>
      </c>
    </row>
    <row r="4">
      <c r="A4" t="inlineStr">
        <is>
          <t>ExternalCallExample</t>
        </is>
      </c>
      <c r="B4" t="inlineStr">
        <is>
          <t>Shell("powershell -c ...")  ' simulated high risk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2026-06-09T09:16:21Z</dcterms:created>
  <dcterms:modified xmlns:dcterms="http://purl.org/dc/terms/" xmlns:xsi="http://www.w3.org/2001/XMLSchema-instance" xsi:type="dcterms:W3CDTF">2026-06-09T09:16:21Z</dcterms:modified>
</cp:coreProperties>
</file>